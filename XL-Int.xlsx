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drawings/drawing1.xml" ContentType="application/vnd.openxmlformats-officedocument.drawing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xl-int\"/>
    </mc:Choice>
  </mc:AlternateContent>
  <xr:revisionPtr revIDLastSave="0" documentId="13_ncr:1_{1A24D93F-1452-48AD-9314-961DC9C69F1B}" xr6:coauthVersionLast="47" xr6:coauthVersionMax="47" xr10:uidLastSave="{00000000-0000-0000-0000-000000000000}"/>
  <bookViews>
    <workbookView xWindow="0" yWindow="0" windowWidth="24530" windowHeight="2100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[input: Text]">_xlfn.LAMBDA(_xlpm.input, _xlfn.LET(_xlpm.str_norm, BigInt.Norm(_xlpm.input), IF(LEFT(_xlpm.str_norm) = "-", MID(_xlpm.str_norm, 2, LEN(_xlpm.str_norm) - 1), _xlpm.str_norm)))</definedName>
    <definedName name="BigInt.Add" comment="Returns the sum of two BigInt strings._x000a_[input_a: Text, input_b: Text]">_xlfn.LAMBDA(_xlpm.input_a,_xlpm.input_b, _xlfn.LET(_xlpm.str_norm_a, BigInt.Norm(_xlpm.input_a), _xlpm.str_norm_b, BigInt.Norm(_xlpm.input_b), _xlpm.sign_a, BigInt.Sign(_xlpm.str_norm_a), _xlpm.sign_b, BigInt.Sign(_xlpm.str_norm_b), _xlpm.k, core_BigInt.SafeK("ADD"), _xlpm.limbs_a, core_BigInt.Split(BigInt.Abs(_xlpm.str_norm_a), _xlpm.k), _xlpm.limbs_b, core_BigInt.Split(BigInt.Abs(_xlpm.str_norm_b), _xlpm.k), _xlpm.packed_result, core_BigInt.AddSubRouter(_xlpm.limbs_a, _xlpm.limbs_b, _xlpm.sign_a, _xlpm.sign_b, _xlpm.k), _xlpm.final_sign, _xlfn.CHOOSEROWS(_xlpm.packed_result, -1), _xlpm.final_limbs, _xlfn.DROP(_xlpm.packed_result, -1), _xlpm.str_merged, core_BigInt.Merge(_xlpm.final_limbs, _xlpm.k), IF(_xlpm.final_sign = -1, "-" &amp; _xlpm.str_merged, _xlpm.str_merged)))</definedName>
    <definedName name="BigInt.Compare" comment="Returns 1 (a &gt; b), -1 (a &lt; b), or 0 (a = b). Compares signs and lengths before limb analysis._x000a_[input_a: Text, input_b: Text]">_xlfn.LAMBDA(_xlpm.input_a,_xlpm.input_b, _xlfn.LET(_xlpm.str_norm_a, BigInt.Norm(_xlpm.input_a), _xlpm.str_norm_b, BigInt.Norm(_xlpm.input_b), _xlpm.sign_a, BigInt.Sign(_xlpm.str_norm_a), _xlpm.sign_b, BigInt.Sign(_xlpm.str_norm_b), IF(_xlpm.sign_a &lt;&gt; _xlpm.sign_b, SIGN(_xlpm.sign_a - _xlpm.sign_b), IF(_xlpm.sign_a = 0, 0, _xlfn.LET(_xlpm.len_a, LEN(_xlpm.str_norm_a), _xlpm.len_b, LEN(_xlpm.str_norm_b), IF(_xlpm.len_a &lt;&gt; _xlpm.len_b, SIGN(_xlpm.len_a - _xlpm.len_b) * _xlpm.sign_a, _xlfn.LET(_xlpm.k, core_BigInt.SafeK("ADD"), _xlpm.limbs_a, core_BigInt.Split(BigInt.Abs(_xlpm.str_norm_a), _xlpm.k), _xlpm.limbs_b, core_BigInt.Split(BigInt.Abs(_xlpm.str_norm_b), _xlpm.k), _xlpm.magnitude_comparison, core_BigInt.UCompare(_xlpm.limbs_a, _xlpm.limbs_b), _xlpm.magnitude_comparison * _xlpm.sign_a)))))))</definedName>
    <definedName name="BigInt.Div" comment="Returns the quotient of A / B. Defaults to Truncated division._x000a_[input_a: Text, input_b: Text, use_floor: Bool]">_xlfn.LAMBDA(_xlpm.input_a,_xlpm.input_b,_xlop.use_floor, INDEX(BigInt.DivMod(_xlpm.input_a, _xlpm.input_b, _xlpm.use_floor), 1, 1))</definedName>
    <definedName name="BigInt.DivMod" comment="Returns 2-row array: [Quotient; Remainder]. Supports Truncated or Floor division._x000a_[input_a: Text, input_b: Text, use_floor: Bool]">_xlfn.LAMBDA(_xlpm.input_a,_xlpm.input_b,_xlop.use_floor, _xlfn.LET(_xlpm.str_norm_a, BigInt.Norm(_xlpm.input_a), _xlpm.str_norm_b, BigInt.Norm(_xlpm.input_b), _xlpm.sign_a, BigInt.Sign(_xlpm.str_norm_a), _xlpm.sign_b, BigInt.Sign(_xlpm.str_norm_b), _xlpm.is_floor_div, IF(_xlfn.ISOMITTED(_xlpm.use_floor), FALSE, _xlpm.use_floor), IF(_xlpm.sign_b = 0, #DIV/0!, IF(_xlpm.sign_a = 0, {"0";"0"}, _xlfn.LET(_xlpm.k, core_BigInt.SafeK("DIV"), _xlpm.limbs_a, core_BigInt.Split(BigInt.Abs(_xlpm.str_norm_a), _xlpm.k), _xlpm.limbs_b, core_BigInt.Split(BigInt.Abs(_xlpm.str_norm_b), _xlpm.k), _xlpm.packed_result, core_BigInt.DivRouter(_xlpm.limbs_a, _xlpm.limbs_b, _xlpm.k), _xlpm.len_remainder, INDEX(_xlpm.packed_result, 1, 1), _xlpm.limbs_remainder, _xlfn.CHOOSEROWS(_xlpm.packed_result, _xlfn.SEQUENCE(_xlpm.len_remainder, 1, 2)), _xlpm.limbs_quotient, _xlfn.DROP(_xlpm.packed_result, _xlpm.len_remainder + 1), _xlpm.final_sign, _xlpm.sign_a * _xlpm.sign_b, _xlpm.str_merged_q, core_BigInt.Merge(_xlpm.limbs_quotient, _xlpm.k), _xlpm.str_merged_r, core_BigInt.Merge(_xlpm.limbs_remainder, _xlpm.k), _xlpm.str_trunc_q, IF(AND(_xlpm.final_sign = -1, _xlpm.str_merged_q &lt;&gt; "0"), "-" &amp; _xlpm.str_merged_q, _xlpm.str_merged_q), _xlpm.str_trunc_r, IF(AND(_xlpm.sign_a = -1, _xlpm.str_merged_r &lt;&gt; "0"), "-" &amp; _xlpm.str_merged_r, _xlpm.str_merged_r), _xlpm.needs_floor_correction, AND(_xlpm.is_floor_div, _xlpm.final_sign = -1, _xlpm.str_merged_r &lt;&gt; "0"), _xlpm.str_final_q, IF(_xlpm.needs_floor_correction, BigInt.Sub(_xlpm.str_trunc_q, "1"), _xlpm.str_trunc_q), _xlpm.str_final_r, IF(_xlpm.needs_floor_correction, BigInt.Add(_xlpm.str_trunc_r, _xlpm.str_norm_b), _xlpm.str_trunc_r), _xlfn.VSTACK(_xlpm.str_final_q, _xlpm.str_final_r))))))</definedName>
    <definedName name="BigInt.Fact" comment="Returns the factorial (n!) using Prime Swing. Max input: 9273._x000a_[input: Text]">_xlfn.LAMBDA(_xlpm.input, _xlfn.LET(_xlpm.str_norm, BigInt.Norm(_xlpm.input), _xlpm.sign_n, BigInt.Sign(_xlpm.str_norm), IF(_xlpm.sign_n = -1, #NUM!, IF(_xlpm.str_norm = "0", "1", IF(_xlpm.str_norm = "1", "1", IF(LEN(_xlpm.str_norm) &gt; 4, #NUM!, IF(VALUE(_xlpm.str_norm) &gt; 9273, #NUM!, _xlfn.LET(_xlpm.num_n, VALUE(_xlpm.str_norm), _xlpm.global_primes, core_BigInt.NativePrimes(_xlpm.num_n), core_BigInt.PrimeSwingKernel(_xlpm.num_n, _xlpm.global_primes)))))))))</definedName>
    <definedName name="BigInt.IsEven" comment="Returns TRUE if the BigInt is even._x000a_[input: Text]">_xlfn.LAMBDA(_xlpm.input, ISEVEN(VALUE(RIGHT(BigInt.Norm(_xlpm.input)))))</definedName>
    <definedName name="BigInt.IsNeg" comment="Returns TRUE if the BigInt is negative._x000a_[input: Text]">_xlfn.LAMBDA(_xlpm.input, LEFT(BigInt.Norm(_xlpm.input)) = "-")</definedName>
    <definedName name="BigInt.IsOdd" comment="Returns TRUE if the BigInt is odd._x000a_[input: Text]">_xlfn.LAMBDA(_xlpm.input, ISODD(VALUE(RIGHT(BigInt.Norm(_xlpm.input)))))</definedName>
    <definedName name="BigInt.IsZero" comment="Returns TRUE if the BigInt is exactly zero._x000a_[input: Text]">_xlfn.LAMBDA(_xlpm.input, BigInt.Norm(_xlpm.input) = "0")</definedName>
    <definedName name="BigInt.Max" comment="Returns the maximum BigInt from a range or array._x000a_[range: Range/Array]">_xlfn.LAMBDA(_xlpm.range, _xlfn.LET(_xlpm.flattened_col, _xlfn.TOCOL(_xlpm.range, 1), IF(OR(ISERROR(_xlpm.flattened_col), ROWS(_xlpm.flattened_col) = 0), "0", core_BigInt.TreeCompare(_xlfn.MAP(_xlpm.flattened_col, BigInt.Norm), 1))))</definedName>
    <definedName name="BigInt.Min" comment="Returns the minimum BigInt from a range or array._x000a_[range: Range/Array]">_xlfn.LAMBDA(_xlpm.range, _xlfn.LET(_xlpm.flattened_col, _xlfn.TOCOL(_xlpm.range, 1), IF(OR(ISERROR(_xlpm.flattened_col), ROWS(_xlpm.flattened_col) = 0), "0", core_BigInt.TreeCompare(_xlfn.MAP(_xlpm.flattened_col, BigInt.Norm), -1))))</definedName>
    <definedName name="BigInt.Mod" comment="Returns the remainder of A / B. Defaults to Truncated division._x000a_[input_a: Text, input_b: Text, use_floor: Bool]">_xlfn.LAMBDA(_xlpm.input_a,_xlpm.input_b,_xlop.use_floor, INDEX(BigInt.DivMod(_xlpm.input_a, _xlpm.input_b, _xlpm.use_floor), 2, 1))</definedName>
    <definedName name="BigInt.Mul" comment="Returns the product of two BigInt strings._x000a_[input_a: Text, input_b: Text]">_xlfn.LAMBDA(_xlpm.input_a,_xlpm.input_b, _xlfn.LET(_xlpm.str_norm_a, BigInt.Norm(_xlpm.input_a), _xlpm.str_norm_b, BigInt.Norm(_xlpm.input_b), _xlpm.sign_a, BigInt.Sign(_xlpm.str_norm_a), _xlpm.sign_b, BigInt.Sign(_xlpm.str_norm_b), _xlpm.len_a, LEN(_xlpm.str_norm_a) - IF(_xlpm.sign_a = -1, 1, 0), _xlpm.len_b, LEN(_xlpm.str_norm_b) - IF(_xlpm.sign_b = -1, 1, 0), IF(OR(_xlpm.sign_a = 0, _xlpm.sign_b = 0), "0", IF(_xlpm.len_a + _xlpm.len_b &gt; 32766, #NUM!, _xlfn.LET(_xlpm.k, core_BigInt.SafeK("MUL", MIN(_xlpm.len_a, _xlpm.len_b)), _xlpm.limbs_a, core_BigInt.Split(BigInt.Abs(_xlpm.str_norm_a), _xlpm.k), _xlpm.limbs_b, core_BigInt.Split(BigInt.Abs(_xlpm.str_norm_b), _xlpm.k), _xlpm.final_limbs, core_BigInt.UMul(_xlpm.limbs_a, _xlpm.limbs_b, _xlpm.k), _xlpm.final_sign, _xlpm.sign_a * _xlpm.sign_b, _xlpm.str_merged, core_BigInt.Merge(_xlpm.final_limbs, _xlpm.k), IF(_xlpm.final_sign = -1, "-" &amp; _xlpm.str_merged, _xlpm.str_merged))))))</definedName>
    <definedName name="BigInt.Norm" comment="Normalises a BigInt string. Strips noise, expands scientific notation, coerces booleans, and enforces strict integer logic._x000a_[input: Variant]">_xlfn.LAMBDA(_xlpm.input, IF(OR(_xlfn.ISOMITTED(_xlpm.input), _xlpm.input &amp; "" = ""), "0", _xlfn.LET(_xlpm.type_id, TYPE(_xlpm.input), IF(_xlpm.type_id = 16, _xlpm.input, IF(_xlpm.type_id = 4, --_xlpm.input &amp; "", _xlfn.LET(_xlpm.str_raw, _xlpm.input &amp; "", IF(AND(_xlpm.type_id = 1, (LEN(_xlpm.str_raw) - (LEFT(_xlpm.str_raw) = "-")) &gt; 15), #NUM!, IF(_xlfn.REGEXTEST(_xlpm.str_raw, "^-?\d+$"), _xlfn.LET(_xlpm.str_norm, _xlfn.REGEXREPLACE(_xlpm.str_raw, "^(-?)0+(?=\d)", "$1"), IF(_xlpm.str_norm = "-0", "0", _xlpm.str_norm)), _xlfn.LET(_xlpm.str_clean_1, _xlfn.REGEXREPLACE(_xlpm.str_raw, "[,\s_]", ""), _xlpm.str_clean_2, _xlfn.REGEXREPLACE(_xlpm.str_clean_1, "^\((.*)\)$", "-$1"), _xlpm.is_sci_not, _xlfn.REGEXTEST(_xlpm.str_clean_2, "^-?\d+(\.\d+)?[Ee][+-]?\d+$"), _xlpm.str_clean_3, IF(NOT(_xlpm.is_sci_not), _xlpm.str_clean_2, _xlfn.LET(_xlpm.mantissa, _xlfn.REGEXEXTRACT(_xlpm.str_clean_2, "^-?\d+(\.\d+)?"), _xlpm.exponent, VALUE(_xlfn.REGEXEXTRACT(_xlpm.str_clean_2, "[+-]?\d+$")), _xlpm.dec_match, IFERROR(_xlfn.REGEXEXTRACT(_xlpm.mantissa, "\.\d+$"), ""), _xlpm.dec_places, IF(_xlpm.dec_match = "", 0, LEN(_xlpm.dec_match) - 1), IF(OR(_xlpm.exponent &lt; 0, _xlpm.dec_places &gt; _xlpm.exponent), #VALUE!, SUBSTITUTE(_xlpm.mantissa, ".", "") &amp; REPT("0", _xlpm.exponent - _xlpm.dec_places)))), _xlpm.has_decimal, ISNUMBER(FIND(".", _xlpm.str_clean_3)), _xlpm.str_clean_4, IF(NOT(_xlpm.has_decimal), _xlpm.str_clean_3, _xlfn.LET(_xlpm.stripped, _xlfn.REGEXREPLACE(_xlpm.str_clean_3, "\.0+$", ""), IF(ISNUMBER(FIND(".", _xlpm.stripped)), #VALUE!, _xlpm.stripped))), _xlpm.is_valid, _xlfn.REGEXTEST(_xlpm.str_clean_4, "^-?\d+$"), IF(NOT(_xlpm.is_valid), #VALUE!, _xlfn.LET(_xlpm.str_norm, _xlfn.REGEXREPLACE(_xlpm.str_clean_4, "^(-?)0+(?=\d)", "$1"), IF(_xlpm.str_norm = "-0", "0", _xlpm.str_norm))))))))))))</definedName>
    <definedName name="BigInt.Pow" comment="Returns base raised to the power of exponent._x000a_[base: Text, exponent: Text]">_xlfn.LAMBDA(_xlpm.base,_xlpm.exponent, _xlfn.LET(_xlpm.str_norm_base, BigInt.Norm(_xlpm.base), _xlpm.str_norm_exp, BigInt.Norm(_xlpm.exponent), _xlpm.sign_base, BigInt.Sign(_xlpm.str_norm_base), _xlpm.sign_exp, BigInt.Sign(_xlpm.str_norm_exp), _xlpm.str_abs_base, BigInt.Abs(_xlpm.str_norm_base), _xlpm.str_abs_exp, BigInt.Abs(_xlpm.str_norm_exp), _xlpm.is_exp_even, ISEVEN(VALUE(RIGHT(_xlpm.str_norm_exp, 1))), _xlpm.final_sign, IF(_xlpm.sign_base = -1, IF(_xlpm.is_exp_even, 1, -1), _xlpm.sign_base), IF(_xlpm.str_abs_base = "0", IF(_xlpm.str_norm_exp = "0", #NUM!, "0"), IF(_xlpm.str_abs_base = "1", IF(_xlpm.final_sign = -1, "-1", "1"), IF(_xlpm.sign_exp = -1, "0", IF(_xlpm.str_norm_exp = "0", "1", IF(LEN(_xlpm.str_norm_exp) &gt; 6, #NUM!, _xlfn.LET(_xlpm.num_exp, VALUE(_xlpm.str_norm_exp), _xlpm.base_log10,LOG10(VALUE(LEFT(_xlpm.str_abs_base, 14))) + MAX(0, LEN(_xlpm.str_abs_base) - 14), _xlpm.approx_digits, _xlpm.num_exp * _xlpm.base_log10, IF(_xlpm.approx_digits &gt; 32766, #NUM!, _xlfn.LET(_xlpm.k, core_BigInt.SafeK("MUL", _xlpm.approx_digits / 2), _xlpm.limbs_base, core_BigInt.Split(_xlpm.str_abs_base, _xlpm.k), _xlpm.limbs_final, core_BigInt.UPow(_xlpm.limbs_base, _xlpm.str_norm_exp, _xlpm.k), _xlpm.str_merged, core_BigInt.Merge(_xlpm.limbs_final, _xlpm.k), IF(_xlpm.final_sign = -1, "-" &amp; _xlpm.str_merged, _xlpm.str_merged)))))))))))</definedName>
    <definedName name="BigInt.RandArray" comment="[VOLATILE] Generates a dynamic array of random BigInt strings._x000a_[num_rows: int, num_cols: int, min_digits: int, max_digits: int]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_xlfn.LET(_xlpm.sign_prefix, CHOOSE(RANDBETWEEN(1, 2), "", "-"), _xlpm.rand_digits, _xlfn.CONCAT(_xlfn.RANDARRAY(1, _xlpm.length, 0, 9, TRUE)), _xlpm.sign_prefix &amp; _xlfn.REGEXREPLACE(_xlpm.rand_digits, "^0*", ""))))))</definedName>
    <definedName name="BigInt.Sign" comment="Returns the sign of a BigInt: 1 (positive), -1 (negative), or 0 (zero)._x000a_[input: Text]">_xlfn.LAMBDA(_xlpm.input, _xlfn.LET(_xlpm.str_norm, BigInt.Norm(_xlpm.input), _xlfn.SWITCH(LEFT(_xlpm.str_norm), "0", 0, "-", -1, 1)))</definedName>
    <definedName name="BigInt.Sqrt" comment="Returns the integer square root (floor) of a BigInt._x000a_[input: Text]">_xlfn.LAMBDA(_xlpm.input, _xlfn.LET(_xlpm.str_norm, BigInt.Norm(_xlpm.input), _xlpm.sign_n, BigInt.Sign(_xlpm.str_norm), IF(_xlpm.sign_n = -1, #NUM!, IF(_xlpm.str_norm = "0", "0", IF(_xlpm.str_norm = "1", "1", _xlfn.LET(_xlpm.len_norm, LEN(_xlpm.str_norm), _xlpm.num_seed_precision, IF(_xlpm.len_norm &lt;= 14, _xlpm.len_norm, IF(ISEVEN(_xlpm.len_norm), 14, 13)), _xlpm.str_native_precision, LEFT(_xlpm.str_norm, _xlpm.num_seed_precision), _xlpm.num_native_precision, VALUE(_xlpm.str_native_precision), _xlpm.num_magnitude_zeroes, (_xlpm.len_norm - _xlpm.num_seed_precision) / 2, _xlpm.str_prefix, TEXT(ROUNDUP(SQRT(_xlpm.num_native_precision), 0) + 1, "0"), _xlpm.str_seed, _xlpm.str_prefix &amp; REPT("0", _xlpm.num_magnitude_zeroes), _xlpm.k, core_BigInt.SafeK("MUL", _xlpm.len_norm), _xlpm.limbs_radicand, core_BigInt.Split(_xlpm.str_norm, _xlpm.k), _xlpm.limbs_seed, core_BigInt.Split(_xlpm.str_seed, _xlpm.k), _xlpm.limbs_final, core_BigInt.USqrt(_xlpm.limbs_radicand, _xlpm.limbs_seed, _xlpm.k), core_BigInt.Merge(_xlpm.limbs_final, _xlpm.k)))))))</definedName>
    <definedName name="BigInt.Sub" comment="Returns the difference of two BigInt strings (A - B)._x000a_[input_a: Text, input_b: Text]">_xlfn.LAMBDA(_xlpm.input_a,_xlpm.input_b, _xlfn.LET(_xlpm.str_norm_b, BigInt.Norm(_xlpm.input_b), _xlpm.str_inverse_b, IF(_xlpm.str_norm_b = "0", "0", IF(LEFT(_xlpm.str_norm_b) = "-", MID(_xlpm.str_norm_b, 2, LEN(_xlpm.str_norm_b)), "-" &amp; _xlpm.str_norm_b)), BigInt.Add(_xlpm.input_a, _xlpm.str_inverse_b)))</definedName>
    <definedName name="BigInt.Sum" comment="Sums a range or array of BigInt strings._x000a_[input_range: Range/Array]">_xlfn.LAMBDA(_xlpm.input_range, _xlfn.LET(_xlpm.flattened_input, _xlfn.TOROW(_xlpm.input_range, 1), IF(OR(ISERROR(_xlpm.flattened_input), COLUMNS(_xlpm.flattened_input) = 0), "0", _xlfn.LET(_xlpm.str_norms, _xlfn.MAP(_xlpm.flattened_input, _xlfn.LAMBDA(_xlpm.x, BigInt.Norm(_xlpm.x))), _xlpm.arr_signs, _xlfn.MAP(LEFT(_xlpm.str_norms), _xlfn.LAMBDA(_xlpm.x, IF(_xlpm.x = "0", 0, IF(_xlpm.x = "-", -1, 1)))), _xlpm.str_abs, _xlfn.MAP(_xlpm.str_norms, _xlpm.arr_signs, _xlfn.LAMBDA(_xlpm.x,_xlpm.sign, IF(_xlpm.sign = -1, MID(_xlpm.x, 2, LEN(_xlpm.x) - 1), _xlpm.x))), _xlpm.str_pos, _xlfn._xlws.FILTER(_xlpm.str_abs, _xlpm.arr_signs = 1, {"0"}), _xlpm.str_negs, _xlfn._xlws.FILTER(_xlpm.str_abs, _xlpm.arr_signs = -1, {"0"}), _xlpm.unified_k, core_BigInt.SafeK("ADD", COLUMNS(_xlpm.flattened_input)), _xlpm.limbs_pos_sum, core_BigInt.UMatrixSum(_xlpm.str_pos, _xlpm.unified_k), _xlpm.limbs_neg_sum, core_BigInt.UMatrixSum(_xlpm.str_negs, _xlpm.unified_k), _xlpm.packed_result, core_BigInt.AddSubRouter(_xlpm.limbs_pos_sum, _xlpm.limbs_neg_sum, 1, -1, _xlpm.unified_k), _xlpm.final_sign, _xlfn.CHOOSEROWS(_xlpm.packed_result, -1), _xlpm.final_limbs, _xlfn.DROP(_xlpm.packed_result, -1), _xlpm.str_merged, core_BigInt.Merge(_xlpm.final_limbs, _xlpm.unified_k), IF(_xlpm.final_sign = -1, "-" &amp; _xlpm.str_merged, _xlpm.str_merged)))))</definedName>
    <definedName name="core_BigInt.AddSubRouter" comment="[Internal] Returns packed array: [limbs; final_sign]. Resolves sign logic for Add/Sub._x000a_[limbs_a: Array, limbs_b: Array, sign_a: int, sign_b: int, k: int]">_xlfn.LAMBDA(_xlpm.limbs_a,_xlpm.limbs_b,_xlpm.sign_a,_xlpm.sign_b,_xlpm.k, _xlfn.LET(_xlpm.is_addition, _xlpm.sign_a = _xlpm.sign_b, IF(_xlpm.is_addition, _xlfn.VSTACK(core_BigInt.UAdd(_xlpm.limbs_a, _xlpm.limbs_b, _xlpm.k), _xlpm.sign_a), _xlfn.LET(_xlpm.magnitude_comparison, core_BigInt.UCompare(_xlpm.limbs_a, _xlpm.limbs_b), IF(_xlpm.magnitude_comparison = 0, {0;0}, IF(_xlpm.magnitude_comparison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[limbs: Array, k: int]">_xlfn.LAMBDA(_xlpm.limbs,_xlpm.k, _xlfn.LET(_xlpm.num_limbs, ROWS(_xlpm.limbs), _xlpm.radix_base, 10 ^ _xlpm.k, _xlpm.arr_carries, _xlfn.SCAN(0, _xlpm.limbs, _xlfn.LAMBDA(_xlpm.acc,_xlpm.val, _xlpm.val + INT(_xlpm.acc / _xlpm.radix_base))), _xlpm.remainders, MOD(_xlpm.arr_carries, _xlpm.radix_base), _xlpm.final_carry, INT(INDEX(_xlpm.arr_carries, _xlpm.num_limbs, 1) / _xlpm.radix_base), IF(_xlpm.final_carry &gt; 0, _xlfn.VSTACK(_xlpm.remainders, _xlpm.final_carry), _xlpm.remainders)))</definedName>
    <definedName name="core_BigInt.DivRouter" comment="[Internal] Routes division to Knuth or Newton-Raphson based on Dividend length._x000a_[limbs_a: Array, limbs_b: Array, k: int]">_xlfn.LAMBDA(_xlpm.limbs_a,_xlpm.limbs_b,_xlpm.k, _xlfn.LET(_xlpm.approx_digits_a, ROWS(_xlpm.limbs_a) * _xlpm.k, _xlpm.approx_digits_b, ROWS(_xlpm.limbs_b) * _xlpm.k, _xlpm.regression_slope_m, 0.107821194271297, _xlpm.regression_intercept_c, -221.902189462068, _xlpm.threshold_digits, (_xlpm.regression_slope_m * _xlpm.approx_digits_a) + _xlpm.regression_intercept_c, IF(_xlpm.approx_digits_b &lt;= _xlpm.threshold_digits, core_BigInt.KnuthDiv(_xlpm.limbs_a, _xlpm.limbs_b, _xlpm.k), core_BigInt.NewtonRaphsonDiv(_xlpm.limbs_a, _xlpm.limbs_b, _xlpm.k))))</definedName>
    <definedName name="core_BigInt.FindQuotientLimb" comment="[Internal] Returns highest scalar quotient limb q (0 &lt;= q &lt; 10^k) where B * q &lt;= R._x000a_[limbs_r: Array, limbs_b: Array, k: int]">_xlfn.LAMBDA(_xlpm.limbs_r,_xlpm.limbs_b,_xlpm.k, _xlfn.LET(_xlpm.required_bits, _xlfn.CEILING.MATH(LOG(10 ^ _xlpm.k, 2)), _xlpm.powers_of_two, 2 ^ _xlfn.SEQUENCE(_xlpm.required_bits, 1, _xlpm.required_bits - 1, -1), _xlfn.REDUCE(0, _xlpm.powers_of_two, _xlfn.LAMBDA(_xlpm.current_q,_xlpm.current_power, _xlfn.LET(_xlpm.test_q, _xlpm.current_q + _xlpm.current_power, IF(_xlpm.test_q &gt;= 10 ^ _xlpm.k, _xlpm.current_q, _xlfn.LET(_xlpm.limbs_bq, core_BigInt.Carry(_xlpm.limbs_b * _xlpm.test_q, _xlpm.k), _xlpm.magnitude_comparison, core_BigInt.UCompare(_xlpm.limbs_r, _xlpm.limbs_bq), IF(_xlpm.magnitude_comparison &gt;= 0, _xlpm.test_q, _xlpm.current_q))))))))</definedName>
    <definedName name="core_BigInt.KnuthDiv" comment="[Internal] Returns packed array: [Len_R; R_limbs; Q_limbs] using sequential long division._x000a_[limbs_a: Array, limbs_b: Array, k: int]">_xlfn.LAMBDA(_xlpm.limbs_a,_xlpm.limbs_b,_xlpm.k, _xlfn.LET(_xlpm.magnitude_comparison, core_BigInt.UCompare(_xlpm.limbs_a, _xlpm.limbs_b), IF(_xlpm.magnitude_comparison &lt; 0, _xlfn.VSTACK(ROWS(_xlpm.limbs_a), _xlpm.limbs_a, 0), IF(_xlpm.magnitude_comparison = 0, _xlfn.VSTACK(1, 0, 1), _xlfn.LET(_xlpm.num_limbs_a, ROWS(_xlpm.limbs_a), _xlpm.big_endian_a, _xlfn.CHOOSEROWS(_xlpm.limbs_a, _xlfn.SEQUENCE(_xlpm.num_limbs_a, 1, _xlpm.num_limbs_a, -1)), _xlpm.final_packed_state, _xlfn.REDUCE(_xlfn.VSTACK(1, 0, 0), _xlpm.big_endian_a, _xlfn.LAMBDA(_xlpm.packed_state,_xlpm.val, _xlfn.LET(_xlpm.num_limbs_r, INDEX(_xlpm.packed_state, 1, 1), _xlpm.limbs_r, _xlfn.CHOOSEROWS(_xlpm.packed_state, _xlfn.SEQUENCE(_xlpm.num_limbs_r, 1, 2)), _xlpm.limbs_q, _xlfn.DROP(_xlpm.packed_state, _xlpm.num_limbs_r + 1), _xlpm.limbs_shifted_r, IF(AND(ROWS(_xlpm.limbs_r) = 1, INDEX(_xlpm.limbs_r, 1, 1) = 0), _xlpm.val, _xlfn.VSTACK(_xlpm.val, _xlpm.limbs_r)), _xlpm.q_limb, core_BigInt.FindQuotientLimb(_xlpm.limbs_shifted_r, _xlpm.limbs_b, _xlpm.k), _xlpm.limbs_bq, core_BigInt.Carry(_xlpm.limbs_b * _xlpm.q_limb, _xlpm.k), _xlpm.limbs_next_r, core_BigInt.USub(_xlpm.limbs_shifted_r, _xlpm.limbs_bq, _xlpm.k), _xlpm.has_q, OR(ROWS(_xlpm.limbs_q) &gt; 1, INDEX(_xlpm.limbs_q, 1, 1) &gt; 0), _xlpm.limbs_next_q, IF(_xlpm.has_q, _xlfn.VSTACK(_xlpm.limbs_q, _xlpm.q_limb), _xlpm.q_limb), _xlfn.VSTACK(ROWS(_xlpm.limbs_next_r), _xlpm.limbs_next_r, _xlpm.limbs_next_q)))), _xlpm.num_limbs_r, INDEX(_xlpm.final_packed_state, 1, 1), _xlpm.limbs_r, _xlfn.CHOOSEROWS(_xlpm.final_packed_state, _xlfn.SEQUENCE(_xlpm.num_limbs_r, 1, 2)), _xlpm.big_endian_q, _xlfn.DROP(_xlpm.final_packed_state, _xlpm.num_limbs_r + 1), _xlpm.len_q, ROWS(_xlpm.big_endian_q), _xlpm.limbs_q, _xlfn.CHOOSEROWS(_xlpm.big_endian_q, _xlfn.SEQUENCE(_xlpm.len_q, 1, _xlpm.len_q, -1)), _xlfn.VSTACK(_xlpm.num_limbs_r, _xlpm.limbs_r, _xlpm.limbs_q))))))</definedName>
    <definedName name="core_BigInt.Merge" comment="[Internal] Merges Little-Endian limb arrays into a Big-Endian BigInt string._x000a_[limbs: Array, k: int]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ativePrimes" comment="[Internal] Returns a vertical array of prime numbers up to n._x000a_[n: int]">_xlfn.LAMBDA(_xlpm.n, IF(_xlpm.n &lt; 2, #NUM!, _xlfn.LET(_xlpm.candidate_sequence, _xlfn.SEQUENCE(_xlpm.n - 1, 1, 2), _xlfn._xlws.FILTER(_xlpm.candidate_sequence, _xlfn.MAP(_xlpm.candidate_sequence, _xlfn.LAMBDA(_xlpm.current_candidate, _xlfn.LET(_xlpm.limit, INT(SQRT(_xlpm.current_candidate)), IF(_xlpm.limit &lt; 2, TRUE, MIN(MOD(_xlpm.current_candidate, _xlfn.SEQUENCE(_xlpm.limit - 1, 1, 2))) &gt; 0))))))))</definedName>
    <definedName name="core_BigInt.NativeSwingExponents" comment="[Internal] Returns the exponent for each prime in the Prime Swing term._x000a_[n: int, primes: Array]">_xlfn.LAMBDA(_xlpm.n,_xlpm.primes, _xlfn.MAP(_xlpm.primes, _xlfn.LAMBDA(_xlpm.p, _xlfn.LET(_xlpm.max_power_k, INT(LOG(_xlpm.n, _xlpm.p)), _xlpm.prime_powers, _xlpm.p ^ _xlfn.SEQUENCE(_xlpm.max_power_k), SUM(MOD(INT(_xlpm.n / _xlpm.prime_powers), 2))))))</definedName>
    <definedName name="core_BigInt.NewtonRaphsonDiv" comment="[Internal] Returns packed array: [Len_R; R_limbs; Q_limbs] using Newton-Raphson._x000a_[limbs_a: Array, limbs_b: Array, k: int]">_xlfn.LAMBDA(_xlpm.limbs_a,_xlpm.limbs_b,_xlpm.k, _xlfn.LET(_xlpm.num_limbs_a, ROWS(_xlpm.limbs_a), _xlpm.num_limbs_b, ROWS(_xlpm.limbs_b), _xlpm.num_limbs_target, MAX(_xlpm.num_limbs_a, _xlpm.num_limbs_b), _xlpm.limbs_reciprocal, core_BigInt.NewtonRaphsonReciprocal(_xlpm.limbs_b, _xlpm.num_limbs_target, _xlpm.k), _xlpm.right_shift_limbs, 2 * _xlpm.num_limbs_target, _xlpm.limbs_q_unscaled, core_BigInt.UMul(_xlpm.limbs_a, _xlpm.limbs_reciprocal, _xlpm.k), _xlpm.limbs_q_approx, IF(ROWS(_xlpm.limbs_q_unscaled) &lt;= _xlpm.right_shift_limbs, {0}, _xlfn.DROP(_xlpm.limbs_q_unscaled, _xlpm.right_shift_limbs)), _xlpm.limbs_p_baseline, core_BigInt.UMul(_xlpm.limbs_b, _xlpm.limbs_q_approx, _xlpm.k), _xlpm.initial_packed_state, _xlfn.VSTACK(ROWS(_xlpm.limbs_q_approx), _xlpm.limbs_q_approx, _xlpm.limbs_p_baseline), _xlpm.packed_state_swept_down, _xlfn.REDUCE(_xlpm.initial_packed_state, {1;2}, _xlfn.LAMBDA(_xlpm.packed_state,_xlpm.i, _xlfn.LET(_xlpm.len_q, INDEX(_xlpm.packed_state, 1, 1), _xlpm.limbs_current_q, _xlfn.CHOOSEROWS(_xlpm.packed_state, _xlfn.SEQUENCE(_xlpm.len_q, 1, 2)), _xlpm.limbs_current_p, _xlfn.DROP(_xlpm.packed_state, _xlpm.len_q + 1), IF(core_BigInt.UCompare(_xlpm.limbs_current_p, _xlpm.limbs_a) &lt;= 0, _xlpm.packed_state, _xlfn.LET(_xlpm.limbs_next_q, core_BigInt.USub(_xlpm.limbs_current_q, {1}, _xlpm.k), _xlpm.limbs_next_p, core_BigInt.USub(_xlpm.limbs_current_p, _xlpm.limbs_b, _xlpm.k), _xlfn.VSTACK(ROWS(_xlpm.limbs_next_q), _xlpm.limbs_next_q, _xlpm.limbs_next_p)))))), _xlpm.packed_state_swept_up, _xlfn.REDUCE(_xlpm.packed_state_swept_down, {1;2}, _xlfn.LAMBDA(_xlpm.packed_state,_xlpm.i, _xlfn.LET(_xlpm.len_q, INDEX(_xlpm.packed_state, 1, 1), _xlpm.limbs_current_q, _xlfn.CHOOSEROWS(_xlpm.packed_state, _xlfn.SEQUENCE(_xlpm.len_q, 1, 2)), _xlpm.limbs_current_p, _xlfn.DROP(_xlpm.packed_state, _xlpm.len_q + 1), _xlpm.limbs_next_p_test, core_BigInt.UAdd(_xlpm.limbs_current_p, _xlpm.limbs_b, _xlpm.k), IF(core_BigInt.UCompare(_xlpm.limbs_next_p_test, _xlpm.limbs_a) &gt; 0, _xlpm.packed_state, _xlfn.LET(_xlpm.limbs_next_q, core_BigInt.UAdd(_xlpm.limbs_current_q, {1}, _xlpm.k), _xlfn.VSTACK(ROWS(_xlpm.limbs_next_q), _xlpm.limbs_next_q, _xlpm.limbs_next_p_test)))))), _xlpm.len_q, INDEX(_xlpm.packed_state_swept_up, 1, 1), _xlpm.limbs_q, _xlfn.CHOOSEROWS(_xlpm.packed_state_swept_up, _xlfn.SEQUENCE(_xlpm.len_q, 1, 2)), _xlpm.limbs_p, _xlfn.DROP(_xlpm.packed_state_swept_up, _xlpm.len_q + 1), _xlpm.limbs_r, core_BigInt.USub(_xlpm.limbs_a, _xlpm.limbs_p, _xlpm.k), _xlfn.VSTACK(ROWS(_xlpm.limbs_r), _xlpm.limbs_r, _xlpm.limbs_q)))</definedName>
    <definedName name="core_BigInt.NewtonRaphsonReciprocal" comment="[Internal] Returns the Reciprocal R scaled progressively to the Dividend's precision._x000a_[limbs_b: Array, target_len: int, k: int]">_xlfn.LAMBDA(_xlpm.limbs_b,_xlpm.target_len,_xlpm.k, _xlfn.LET(_xlpm.num_limbs_b, ROWS(_xlpm.limbs_b), _xlpm.num_seed_limbs, MIN(3, _xlpm.num_limbs_b), _xlpm.limbs_r_seed, core_BigInt.NewtonRaphsonSeed(_xlpm.limbs_b, _xlpm.k), _xlpm.required_iterations, MAX(0, _xlfn.CEILING.MATH(LN(_xlpm.target_len / _xlpm.num_seed_limbs) / LN(2))) + 1, IF(_xlpm.required_iterations = 0, _xlpm.limbs_r_seed, _xlfn.LET(_xlpm.iterations, _xlfn.SEQUENCE(_xlpm.required_iterations), _xlpm.final_packed_state, _xlfn.REDUCE(_xlfn.VSTACK(_xlpm.num_seed_limbs, _xlpm.limbs_r_seed), _xlpm.iterations, _xlfn.LAMBDA(_xlpm.packed_state,_xlpm.i, _xlfn.LET(_xlpm.current_len, INDEX(_xlpm.packed_state, 1, 1), _xlpm.limbs_current_r, _xlfn.DROP(_xlpm.packed_state, 1), _xlpm.next_len, MIN(_xlpm.current_len * 2, _xlpm.target_len), _xlpm.active_b_limbs_current, MIN(_xlpm.current_len, _xlpm.num_limbs_b), _xlpm.active_b_limbs_next, MIN(_xlpm.next_len, _xlpm.num_limbs_b), _xlpm.required_shift_limbs, 2 * (_xlpm.next_len - _xlpm.current_len) - (_xlpm.active_b_limbs_next - _xlpm.active_b_limbs_current), _xlpm.limbs_r_prime, IF(_xlpm.required_shift_limbs &gt; 0, _xlfn.VSTACK(_xlfn.EXPAND(0, _xlpm.required_shift_limbs, , 0), _xlpm.limbs_current_r), _xlpm.limbs_current_r), _xlpm.limbs_b_active, _xlfn.TAKE(_xlpm.limbs_b, -_xlpm.active_b_limbs_next), _xlpm.limbs_p, core_BigInt.UMul(_xlpm.limbs_b_active, _xlpm.limbs_r_prime, _xlpm.k), _xlpm.limbs_two_beta, _xlfn.VSTACK(_xlfn.EXPAND(0, 2 * _xlpm.next_len, , 0), 2), _xlpm.limbs_error_term, core_BigInt.USub(_xlpm.limbs_two_beta, _xlpm.limbs_p, _xlpm.k), _xlpm.limbs_next_r_unscaled, core_BigInt.UMul(_xlpm.limbs_r_prime, _xlpm.limbs_error_term, _xlpm.k), _xlpm.limbs_next_r, IF(ROWS(_xlpm.limbs_next_r_unscaled) &lt;= 2 * _xlpm.next_len, {0}, _xlfn.DROP(_xlpm.limbs_next_r_unscaled, 2 * _xlpm.next_len)), _xlfn.VSTACK(_xlpm.next_len, _xlpm.limbs_next_r)))), _xlfn.DROP(_xlpm.final_packed_state, 1)))))</definedName>
    <definedName name="core_BigInt.NewtonRaphsonSeed" comment="[Internal] Returns the reciprocal seed floor(Beta^(2*len) / B_top) via Knuth Basecase._x000a_[limbs_b: Array, k: int]">_xlfn.LAMBDA(_xlpm.limbs_b,_xlpm.k, _xlfn.LET(_xlpm.num_limbs_b, ROWS(_xlpm.limbs_b), _xlpm.num_seed_limbs, MIN(3, _xlpm.num_limbs_b), _xlpm.limbs_b_top, _xlfn.TAKE(_xlpm.limbs_b, -_xlpm.num_seed_limbs), _xlpm.limbs_beta_2m, _xlfn.VSTACK(_xlfn.EXPAND(0, 2 * _xlpm.num_seed_limbs, , 0), 1), _xlpm.packed_basecase_result, core_BigInt.KnuthDiv(_xlpm.limbs_beta_2m, _xlpm.limbs_b_top, _xlpm.k), _xlpm.num_limbs_r, INDEX(_xlpm.packed_basecase_result, 1, 1), _xlfn.DROP(_xlpm.packed_basecase_result, _xlpm.num_limbs_r + 1)))</definedName>
    <definedName name="core_BigInt.PrimeSwingKernel" comment="[Internal] Returns n! as a string using the recursive Prime Swing algorithm._x000a_[n: int, global_primes: Array]">_xlfn.LAMBDA(_xlpm.n,_xlpm.global_primes, IF(_xlpm.n &lt; 2, "1", _xlfn.LET(_xlpm.floor_half_n, INT(_xlpm.n / 2), _xlpm.factorial_half_n, core_BigInt.PrimeSwingKernel(_xlpm.floor_half_n, _xlpm.global_primes), _xlpm.squared_half_factorial, core_BigInt.UTextMul(_xlpm.factorial_half_n, _xlpm.factorial_half_n), _xlpm.applicable_tier_primes, _xlfn._xlws.FILTER(_xlpm.global_primes, _xlpm.global_primes &lt;= _xlpm.n), _xlpm.str_swing_term, core_BigInt.SwingTerm(_xlpm.n, _xlpm.applicable_tier_primes), core_BigInt.UTextMul(_xlpm.squared_half_factorial, _xlpm.str_swing_term))))</definedName>
    <definedName name="core_BigInt.SafeK" comment="[Internal] Returns max safe base-10 limb size (k) to prevent IEEE-754 precision loss._x000a_[operation: Text, operand_or_digits: int]">_xlfn.LAMBDA(_xlpm.operation,_xlop.operand_or_digits, _xlfn.LET(_xlpm.resolved_count, IF(OR(_xlpm.operand_or_digits = "", _xlfn.ISOMITTED(_xlpm.operand_or_digits)), 2, MAX(2, _xlpm.operand_or_digits)), _xlfn.SWITCH(_xlpm.operation, "ADD", 15 - LEN(_xlpm.resolved_count), "MUL", _xlfn.LET(_xlpm.test_k, {7;6;5;4;3;2;1}, _xlpm.max_overlap, ROUNDUP(_xlpm.resolved_count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Splits strings or arrays into Little-Endian numeric limb arrays._x000a_[str_norms: Text/Array, k: int]">_xlfn.LAMBDA(_xlpm.str_norms,_xlpm.k, _xlfn.LET(_xlpm.flattened_norms, _xlfn.TOROW(_xlpm.str_norms), _xlpm.lengths, LEN(_xlpm.flattened_norms), _xlpm.max_len, MAX(_xlpm.lengths), _xlpm.pad_len, ROUNDUP(_xlpm.max_len / _xlpm.k, 0) * _xlpm.k, _xlpm.padded_norms, REPT("0", _xlpm.pad_len - _xlpm.lengths) &amp; _xlpm.flattened_norms, _xlpm.limb_start_indices, _xlfn.SEQUENCE(_xlpm.pad_len / _xlpm.k, 1, _xlpm.pad_len - _xlpm.k + 1, -_xlpm.k), --MID(_xlpm.padded_norms, _xlpm.limb_start_indices, _xlpm.k)))</definedName>
    <definedName name="core_BigInt.SwingTerm" comment="[Internal] Returns the Swing term for the current factorial tier as a string._x000a_[n: int, tier_primes: Array]">_xlfn.LAMBDA(_xlpm.n,_xlpm.tier_primes, _xlfn.LET(_xlpm.swing_exponents, core_BigInt.NativeSwingExponents(_xlpm.n, _xlpm.tier_primes), _xlpm.has_native_exponent, _xlpm.swing_exponents &gt; 0, IF(AND(NOT(_xlpm.has_native_exponent)), "1", _xlfn.LET(_xlpm.active_primes, _xlfn._xlws.FILTER(_xlpm.tier_primes, _xlpm.has_native_exponent), _xlpm.active_exponents, _xlfn._xlws.FILTER(_xlpm.swing_exponents, _xlpm.has_native_exponent), _xlpm.evalutated_prime_powers, _xlfn.MAP(_xlpm.active_primes, _xlpm.active_exponents, _xlfn.LAMBDA(_xlpm.p,_xlpm.e, IF(_xlpm.e = 1, _xlpm.p &amp; "", BigInt.Pow(_xlpm.p &amp; "", _xlpm.e &amp; "")))), core_BigInt.TextTreeProd(_xlpm.evalutated_prime_powers)))))</definedName>
    <definedName name="core_BigInt.TextTreeProd" comment="[Internal] Returns the product of an array of strings using a recursive tournament tree._x000a_[arr_strings: Array]">_xlfn.LAMBDA(_xlpm.arr_strings, _xlfn.LET(_xlpm.num_elements, ROWS(_xlpm.arr_strings), IF(_xlpm.num_elements = 1, INDEX(_xlpm.arr_strings, 1, 1), _xlfn.LET(_xlpm.paired_strings, _xlfn.WRAPROWS(_xlpm.arr_strings, 2, "1"), _xlpm.reduced_array, _xlfn.BYROW(_xlpm.paired_strings, _xlfn.LAMBDA(_xlpm.row, core_BigInt.UTextMul(INDEX(_xlpm.row, 1, 1), INDEX(_xlpm.row, 1, 2)))), core_BigInt.TextTreeProd(_xlpm.reduced_array)))))</definedName>
    <definedName name="core_BigInt.TreeCompare" comment="[Internal] Returns Min/Max from an array of strings using a recursive tournament tree._x000a_[str_norms: Array, comparison_mode: int]">_xlfn.LAMBDA(_xlpm.str_norms,_xlpm.comparison_mode, _xlfn.LET(_xlpm.num_rows, ROWS(_xlpm.str_norms), IF(_xlpm.num_rows = 1, INDEX(_xlpm.str_norms, 1, 1), _xlfn.LET(_xlpm.tournament_pairs, _xlfn.WRAPROWS(_xlpm.str_norms, 2), _xlpm.competitors_a, _xlfn.TAKE(_xlpm.tournament_pairs, , 1), _xlpm.competitors_b, _xlfn.TAKE(_xlpm.tournament_pairs, , -1), _xlpm.round_winners, _xlfn.MAP(_xlpm.competitors_a, _xlpm.competitors_b, _xlfn.LAMBDA(_xlpm.a,_xlpm.b, IF(ISNA(_xlpm.b), _xlpm.a, _xlfn.LET(_xlpm.comparison_result, BigInt.Compare(_xlpm.a, _xlpm.b), IF(_xlpm.comparison_result * _xlpm.comparison_mode &gt;= 0, _xlpm.a, _xlpm.b))))), core_BigInt.TreeCompare(_xlpm.round_winners, _xlpm.comparison_mode)))))</definedName>
    <definedName name="core_BigInt.UAdd" comment="[Internal] Returns the sum of two unsigned Little-Endian limb arrays._x000a_[a: Array, b: Array, k: int]">_xlfn.LAMBDA(_xlpm.a,_xlpm.b,_xlpm.k, _xlfn.LET(_xlpm.max_rows, MAX(ROWS(_xlpm.a), ROWS(_xlpm.b)), _xlpm.limbs_a_aligned, _xlfn.EXPAND(_xlpm.a, _xlpm.max_rows, 1, 0), _xlpm.limbs_b_aligned, _xlfn.EXPAND(_xlpm.b, _xlpm.max_rows, 1, 0), core_BigInt.Carry(_xlpm.limbs_a_aligned + _xlpm.limbs_b_aligned, _xlpm.k)))</definedName>
    <definedName name="core_BigInt.UCompare" comment="[Internal] Returns 1 (a &gt; b), -1 (a &lt; b), or 0 (a = b) for unsigned limb arrays._x000a_[limbs_a: Array, limbs_b: Array]">_xlfn.LAMBDA(_xlpm.limbs_a,_xlpm.limbs_b, _xlfn.LET(_xlpm.max_rows, MAX(ROWS(_xlpm.limbs_a), ROWS(_xlpm.limbs_b)), _xlpm.limbs_a_aligned, _xlfn.EXPAND(_xlpm.limbs_a, _xlpm.max_rows, 1, 0), _xlpm.limbs_b_aligned, _xlfn.EXPAND(_xlpm.limbs_b, _xlpm.max_rows, 1, 0), _xlpm.differences, _xlpm.limbs_a_aligned - _xlpm.limbs_b_aligned, _xlpm.highest_non_zero_index, _xlfn.XMATCH(TRUE, _xlpm.differences &lt;&gt; 0, 0, -1), IF(ISNA(_xlpm.highest_non_zero_index), 0, SIGN(INDEX(_xlpm.differences, _xlpm.highest_non_zero_index, 1)))))</definedName>
    <definedName name="core_BigInt.UMatrixSum" comment="[Internal] Sums a horizontal array of BigInt strings via 2D matrix broadcasting._x000a_[str_norms: Array, k: int]">_xlfn.LAMBDA(_xlpm.str_norms,_xlpm.k, _xlfn.LET(_xlpm.grid, core_BigInt.Split(_xlpm.str_norms, _xlpm.k), _xlpm.raw_limbs, _xlfn.BYROW(_xlpm.grid, _xleta.SUM), core_BigInt.Carry(_xlpm.raw_limbs, _xlpm.k)))</definedName>
    <definedName name="core_BigInt.UMul" comment="[Internal] Multiplies unsigned Little-Endian limb arrays via 1D Discrete Convolution._x000a_[limbs_a: Array, limbs_b: Array, k: int]">_xlfn.LAMBDA(_xlpm.limbs_a,_xlpm.limbs_b,_xlpm.k, _xlfn.LET(_xlpm.num_limbs_a, ROWS(_xlpm.limbs_a), _xlpm.num_limbs_b, ROWS(_xlpm.limbs_b), _xlpm.convolution_length, _xlpm.num_limbs_a + _xlpm.num_limbs_b - 1, _xlpm.raw_convolution, _xlfn.MAKEARRAY(_xlpm.convolution_length, 1, _xlfn.LAMBDA(_xlpm.r,_xlpm.c, _xlfn.LET(_xlpm.window_start_i, MAX(1, _xlpm.r - _xlpm.num_limbs_b + 1), _xlpm.window_end_i, MIN(_xlpm.r, _xlpm.num_limbs_a), _xlpm.overlap_rows, _xlpm.window_end_i - _xlpm.window_start_i + 1, _xlpm.seq_i, _xlfn.SEQUENCE(_xlpm.overlap_rows, 1, _xlpm.window_start_i, 1), _xlpm.seq_j, _xlfn.SEQUENCE(_xlpm.overlap_rows, 1, _xlpm.r - _xlpm.window_start_i + 1, -1), SUM(INDEX(_xlpm.limbs_a, _xlpm.seq_i, 1) * INDEX(_xlpm.limbs_b, _xlpm.seq_j, 1))))), core_BigInt.Carry(_xlpm.raw_convolution, _xlpm.k)))</definedName>
    <definedName name="core_BigInt.UPow" comment="[Internal] Returns base^exponent using Left-to-Right evaluation and a 1-9 power cache._x000a_[limbs_base: Array, exponent_string: Text, k: int]">_xlfn.LAMBDA(_xlpm.limbs_base,_xlpm.exponent_string,_xlpm.k, _xlfn.LET(_xlpm.limbs_base1, _xlpm.limbs_base, _xlpm.limbs_base2, core_BigInt.UMul(_xlpm.limbs_base1, _xlpm.limbs_base1, _xlpm.k), _xlpm.limbs_base3, core_BigInt.UMul(_xlpm.limbs_base2, _xlpm.limbs_base1, _xlpm.k), _xlpm.limbs_base4, core_BigInt.UMul(_xlpm.limbs_base2, _xlpm.limbs_base2, _xlpm.k), _xlpm.limbs_base5, core_BigInt.UMul(_xlpm.limbs_base4, _xlpm.limbs_base1, _xlpm.k), _xlpm.limbs_base6, core_BigInt.UMul(_xlpm.limbs_base3, _xlpm.limbs_base3, _xlpm.k), _xlpm.limbs_base7, core_BigInt.UMul(_xlpm.limbs_base6, _xlpm.limbs_base1, _xlpm.k), _xlpm.limbs_base8, core_BigInt.UMul(_xlpm.limbs_base4, _xlpm.limbs_base4, _xlpm.k), _xlpm.limbs_base9, core_BigInt.UMul(_xlpm.limbs_base8, _xlpm.limbs_base1, _xlpm.k), _xlpm.exponent_digits, --MID(_xlpm.exponent_string, _xlfn.SEQUENCE(LEN(_xlpm.exponent_string)), 1), _xlfn.REDUCE(1, _xlpm.exponent_digits, _xlfn.LAMBDA(_xlpm.limbs_accumulator,_xlpm.current_digit, _xlfn.LET(_xlpm.is_one, AND(ROWS(_xlpm.limbs_accumulator) = 1, INDEX(_xlpm.limbs_accumulator, 1, 1) = 1), _xlpm.limbs_acc_10, IF(_xlpm.is_one, _xlpm.limbs_accumulator, _xlfn.LET(_xlpm.limbs_acc_2, core_BigInt.UMul(_xlpm.limbs_accumulator, _xlpm.limbs_accumulator, _xlpm.k), _xlpm.limbs_acc_4, core_BigInt.UMul(_xlpm.limbs_acc_2, _xlpm.limbs_acc_2, _xlpm.k), _xlpm.limbs_acc_8, core_BigInt.UMul(_xlpm.limbs_acc_4, _xlpm.limbs_acc_4, _xlpm.k), core_BigInt.UMul(_xlpm.limbs_acc_8, _xlpm.limbs_acc_2, _xlpm.k))), IF(_xlpm.current_digit = 0, _xlpm.limbs_acc_10, _xlfn.LET(_xlpm.limbs_cache_multiplier, CHOOSE(_xlpm.current_digit, _xlpm.limbs_base1, _xlpm.limbs_base2, _xlpm.limbs_base3, _xlpm.limbs_base4, _xlpm.limbs_base5, _xlpm.limbs_base6, _xlpm.limbs_base7, _xlpm.limbs_base8, _xlpm.limbs_base9), IF(_xlpm.is_one, _xlpm.limbs_cache_multiplier, core_BigInt.UMul(_xlpm.limbs_acc_10, _xlpm.limbs_cache_multiplier, _xlpm.k)))))))))</definedName>
    <definedName name="core_BigInt.USqrt" comment="[Internal] Returns the integer square root of the radicand using Newton's Method._x000a_[limbs_radicand: Array, limbs_initial_x: Array, k: int]">_xlfn.LAMBDA(_xlpm.limbs_radicand,_xlpm.limbs_initial_x,_xlpm.k, _xlfn.LET(_xlpm.maximum_iterations, 35, _xlpm.final_packed_state, _xlfn.REDUCE(_xlfn.VSTACK(0, _xlpm.limbs_initial_x), _xlfn.SEQUENCE(_xlpm.maximum_iterations), _xlfn.LAMBDA(_xlpm.packed_state,_xlpm.i, _xlfn.LET(_xlpm.has_converged, INDEX(_xlpm.packed_state, 1, 1), _xlpm.limbs_current_x, _xlfn.DROP(_xlpm.packed_state, 1), IF(_xlpm.has_converged, _xlpm.packed_state, _xlfn.LET(_xlpm.packed_division_result, core_BigInt.DivRouter(_xlpm.limbs_radicand, _xlpm.limbs_current_x, _xlpm.k), _xlpm.num_limbs_r, INDEX(_xlpm.packed_division_result, 1, 1), _xlpm.limbs_q, _xlfn.DROP(_xlpm.packed_division_result, _xlpm.num_limbs_r + 1), _xlpm.limbs_sum_xq, core_BigInt.UAdd(_xlpm.limbs_current_x, _xlpm.limbs_q, _xlpm.k), _xlpm.packed_half_result, core_BigInt.KnuthDiv(_xlpm.limbs_sum_xq, {2}, _xlpm.k), _xlpm.num_limbs_halfed, INDEX(_xlpm.packed_half_result, 1, 1), _xlpm.limbs_next_x, _xlfn.DROP(_xlpm.packed_half_result, _xlpm.num_limbs_halfed + 1), _xlpm.convergence_comparison, core_BigInt.UCompare(_xlpm.limbs_next_x, _xlpm.limbs_current_x), IF(_xlpm.convergence_comparison &gt;= 0, _xlfn.VSTACK(1, _xlpm.limbs_current_x), _xlfn.VSTACK(0, _xlpm.limbs_next_x))))))), _xlfn.DROP(_xlpm.final_packed_state, 1)))</definedName>
    <definedName name="core_BigInt.USub" comment="[Internal] Returns the difference of unsigned Little-Endian arrays (A - B). Assumes A &gt;= B._x000a_[limbs_a: Array, limbs_b: Array, k: int]">_xlfn.LAMBDA(_xlpm.limbs_a,_xlpm.limbs_b,_xlpm.k, _xlfn.LET(_xlpm.max_rows, MAX(ROWS(_xlpm.limbs_a), ROWS(_xlpm.limbs_b)), _xlpm.limbs_a_aligned, _xlfn.EXPAND(_xlpm.limbs_a, _xlpm.max_rows, 1, 0), _xlpm.limbs_b_aligned, _xlfn.EXPAND(_xlpm.limbs_b, _xlpm.max_rows, 1, 0), _xlpm.differences, _xlpm.limbs_a_aligned - _xlpm.limbs_b_aligned, _xlpm.carried_differences, core_BigInt.Carry(_xlpm.differences, _xlpm.k), _xlpm.highest_non_zero_index, _xlfn.XMATCH(TRUE, _xlpm.carried_differences &lt;&gt; 0, 0, -1), IF(ISNA(_xlpm.highest_non_zero_index), {0}, _xlfn.TAKE(_xlpm.carried_differences, _xlpm.highest_non_zero_index))))</definedName>
    <definedName name="core_BigInt.UTextMul" comment="[Internal] High-performance multiplication of normalized positive strings. Bypasses Layer 0._x000a_[norm_a: Text, norm_b: Text]">_xlfn.LAMBDA(_xlpm.norm_a,_xlpm.norm_b, IF(OR(_xlpm.norm_a = "0", _xlpm.norm_b = "0"), "0", IF(_xlpm.norm_a = "1", _xlpm.norm_b, IF(_xlpm.norm_b = "1", _xlpm.norm_a, _xlfn.LET(_xlpm.len_a, LEN(_xlpm.norm_a), _xlpm.len_b, LEN(_xlpm.norm_b), _xlpm.k, core_BigInt.SafeK("MUL", MIN(_xlpm.len_a, _xlpm.len_b)), _xlpm.limbs_a, core_BigInt.Split(_xlpm.norm_a, _xlpm.k), _xlpm.limbs_b, core_BigInt.Split(_xlpm.norm_b, _xlpm.k), _xlpm.final_limbs, core_BigInt.UMul(_xlpm.limbs_a, _xlpm.limbs_b, _xlpm.k), core_BigInt.Merge(_xlpm.final_limbs, _xlpm.k))))))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FactorialAlgorithms">_xlfn.LAMBDA(_xlpm.input,_xlpm.mode,_xlpm.iters,_xlpm.repeats, _xlfn.LET(_xlpm.batch_times, _xlfn.MAP(_xlfn.SEQUENCE(_xlpm.repeats), _xlfn.LAMBDA(_xlpm.r, _xlfn.LET(_xlpm.start, NOW(), _xlpm.run, IF(_xlpm.mode = "Legendre", _xlfn.MAP(_xlfn.SEQUENCE(_xlpm.iters), _xlfn.LAMBDA(_xlpm.i, BigInt.Fact(_xlpm.input))), _xlfn.MAP(_xlfn.SEQUENCE(_xlpm.iters), _xlfn.LAMBDA(_xlpm.i, BigInt.FactSwing(_xlpm.input)))), _xlpm.stop, NOW() + (0 * LEN(INDEX(_xlpm.run, 1, 1))), (_xlpm.stop - _xlpm.start) * 86400000))), MIN(_xlpm.batch_times) / _xlpm.iters))</definedName>
    <definedName name="test_BigInt.FactorialComparison" comment="Executes a strictly sequential benchmark suite to avoid multi-threading contamination._x000a_@param test_cases An N x 1 array of test inputs_x000a_@param iters Number of iterations per sample to smooth NOW() resolution._x000a_@param repeats Number of iterations per benchma">_xlfn.LAMBDA(_xlpm.test_cases,_xlpm.iters,_xlpm.repeats, _xlfn.LET(_xlpm.n_tests, ROWS(_xlpm.test_cases), _xlpm.initial, {"N","Legendre","Swing"}, _xlfn.REDUCE(_xlpm.initial, _xlfn.SEQUENCE(_xlpm.n_tests), _xlfn.LAMBDA(_xlpm.acc,_xlpm.i, _xlfn.LET(_xlpm.input, INDEX(_xlpm.test_cases, _xlpm.i, 1), _xlpm.time_legendre, test_BigInt.FactorialAlgorithms(_xlpm.input, "Legendre", _xlpm.iters, _xlpm.repeats), _xlpm.time_swing, test_BigInt.FactorialAlgorithms(_xlpm.input, "Swing", _xlpm.iters, _xlpm.repeats), _xlfn.VSTACK(_xlpm.acc, _xlfn.HSTACK(_xlpm.input, _xlpm.time_legendre, _xlpm.time_swing)))))))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0" i="1" l="1" a="1"/>
  <c r="C31" i="1" a="1"/>
  <c r="C32" i="1" a="1"/>
  <c r="C33" i="1" a="1"/>
  <c r="C34" i="1" a="1"/>
  <c r="C35" i="1" a="1"/>
  <c r="C36" i="1" a="1"/>
  <c r="C37" i="1" a="1"/>
  <c r="C38" i="1" a="1"/>
  <c r="C39" i="1" a="1"/>
  <c r="C40" i="1" a="1"/>
  <c r="C41" i="1" a="1"/>
  <c r="C42" i="1" a="1"/>
  <c r="C43" i="1" a="1"/>
  <c r="C44" i="1" a="1"/>
  <c r="C45" i="1" a="1"/>
  <c r="C25" i="1" a="1"/>
  <c r="C24" i="1" a="1"/>
  <c r="C23" i="1" a="1"/>
  <c r="C22" i="1" a="1"/>
  <c r="C29" i="1" a="1"/>
  <c r="C28" i="1" a="1"/>
  <c r="C27" i="1" a="1"/>
  <c r="C26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457" i="1" a="1"/>
  <c r="C458" i="1" a="1"/>
  <c r="C459" i="1" a="1"/>
  <c r="C460" i="1" a="1"/>
  <c r="C461" i="1" a="1"/>
  <c r="C449" i="1" a="1"/>
  <c r="C450" i="1" a="1"/>
  <c r="C451" i="1" a="1"/>
  <c r="C452" i="1" a="1"/>
  <c r="C453" i="1" a="1"/>
  <c r="C438" i="1" a="1"/>
  <c r="C439" i="1" a="1"/>
  <c r="C440" i="1" a="1"/>
  <c r="C441" i="1" a="1"/>
  <c r="C442" i="1" a="1"/>
  <c r="C443" i="1" a="1"/>
  <c r="C444" i="1" a="1"/>
  <c r="C432" i="1" a="1"/>
  <c r="C433" i="1" a="1"/>
  <c r="C426" i="1" a="1"/>
  <c r="C427" i="1" a="1"/>
  <c r="B485" i="1" a="1"/>
  <c r="B486" i="1" a="1"/>
  <c r="C415" i="1" a="1"/>
  <c r="C416" i="1" a="1"/>
  <c r="C417" i="1" a="1"/>
  <c r="C418" i="1" a="1"/>
  <c r="C419" i="1" a="1"/>
  <c r="C420" i="1" a="1"/>
  <c r="C421" i="1" a="1"/>
  <c r="C398" i="1" a="1"/>
  <c r="C399" i="1" a="1"/>
  <c r="C400" i="1" a="1"/>
  <c r="C401" i="1" a="1"/>
  <c r="C402" i="1" a="1"/>
  <c r="C407" i="1" a="1"/>
  <c r="C408" i="1" a="1"/>
  <c r="C409" i="1" a="1"/>
  <c r="C410" i="1" a="1"/>
  <c r="B393" i="1"/>
  <c r="B392" i="1"/>
  <c r="C389" i="1"/>
  <c r="C390" i="1"/>
  <c r="C391" i="1"/>
  <c r="C392" i="1"/>
  <c r="C393" i="1"/>
  <c r="C380" i="1" a="1"/>
  <c r="C381" i="1" a="1"/>
  <c r="C382" i="1" a="1"/>
  <c r="C383" i="1" a="1"/>
  <c r="C384" i="1" a="1"/>
  <c r="C350" i="1" a="1"/>
  <c r="C372" i="1" a="1"/>
  <c r="C373" i="1" a="1"/>
  <c r="C374" i="1" a="1"/>
  <c r="C375" i="1" a="1"/>
  <c r="C367" i="1" a="1"/>
  <c r="C365" i="1" a="1"/>
  <c r="C366" i="1" a="1"/>
  <c r="B3" i="1" a="1"/>
  <c r="C354" i="1" a="1"/>
  <c r="C337" i="1" a="1"/>
  <c r="C338" i="1" a="1"/>
  <c r="C339" i="1" a="1"/>
  <c r="C340" i="1" a="1"/>
  <c r="C341" i="1" a="1"/>
  <c r="C342" i="1" a="1"/>
  <c r="C343" i="1" a="1"/>
  <c r="C285" i="1"/>
  <c r="C348" i="1" a="1"/>
  <c r="C349" i="1" a="1"/>
  <c r="C351" i="1" a="1"/>
  <c r="C352" i="1" a="1"/>
  <c r="C353" i="1" a="1"/>
  <c r="C355" i="1" a="1"/>
  <c r="C356" i="1" a="1"/>
  <c r="C357" i="1" a="1"/>
  <c r="C358" i="1" a="1"/>
  <c r="C359" i="1" a="1"/>
  <c r="C360" i="1" a="1"/>
  <c r="C235" i="1" a="1"/>
  <c r="C325" i="1" a="1"/>
  <c r="C326" i="1" a="1"/>
  <c r="C327" i="1" a="1"/>
  <c r="C328" i="1" a="1"/>
  <c r="C329" i="1" a="1"/>
  <c r="C330" i="1" a="1"/>
  <c r="C331" i="1" a="1"/>
  <c r="C332" i="1" a="1"/>
  <c r="C319" i="1" a="1"/>
  <c r="C313" i="1" a="1"/>
  <c r="C314" i="1" a="1"/>
  <c r="C315" i="1" a="1"/>
  <c r="C316" i="1" a="1"/>
  <c r="C317" i="1" a="1"/>
  <c r="C318" i="1" a="1"/>
  <c r="C320" i="1" a="1"/>
  <c r="E5" i="6" a="1"/>
  <c r="B11" i="5"/>
  <c r="B10" i="5"/>
  <c r="C106" i="1" a="1"/>
  <c r="C107" i="1" a="1"/>
  <c r="C108" i="1" a="1"/>
  <c r="C109" i="1" a="1"/>
  <c r="C110" i="1" a="1"/>
  <c r="C111" i="1" a="1"/>
  <c r="C112" i="1" a="1"/>
  <c r="C113" i="1" a="1"/>
  <c r="C239" i="1" a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0" i="1" a="1"/>
  <c r="C279" i="1" a="1"/>
  <c r="C278" i="1" a="1"/>
  <c r="C277" i="1" a="1"/>
  <c r="C276" i="1" a="1"/>
  <c r="C275" i="1" a="1"/>
  <c r="C274" i="1" a="1"/>
  <c r="C273" i="1" a="1"/>
  <c r="C272" i="1" a="1"/>
  <c r="C271" i="1" a="1"/>
  <c r="C266" i="1" a="1"/>
  <c r="C265" i="1" a="1"/>
  <c r="C264" i="1" a="1"/>
  <c r="C263" i="1" a="1"/>
  <c r="C262" i="1" a="1"/>
  <c r="C261" i="1" a="1"/>
  <c r="C260" i="1" a="1"/>
  <c r="C259" i="1" a="1"/>
  <c r="C258" i="1" a="1"/>
  <c r="C257" i="1" a="1"/>
  <c r="C240" i="1" a="1"/>
  <c r="C238" i="1" a="1"/>
  <c r="C237" i="1" a="1"/>
  <c r="C236" i="1" a="1"/>
  <c r="C221" i="1" a="1"/>
  <c r="C220" i="1" a="1"/>
  <c r="C219" i="1" a="1"/>
  <c r="C218" i="1" a="1"/>
  <c r="C217" i="1" a="1"/>
  <c r="C216" i="1" a="1"/>
  <c r="C215" i="1" a="1"/>
  <c r="C195" i="1" a="1"/>
  <c r="C194" i="1" a="1"/>
  <c r="C193" i="1" a="1"/>
  <c r="C188" i="1" a="1"/>
  <c r="C187" i="1" a="1"/>
  <c r="C186" i="1" a="1"/>
  <c r="C185" i="1" a="1"/>
  <c r="C184" i="1" a="1"/>
  <c r="C123" i="1" a="1"/>
  <c r="C122" i="1" a="1"/>
  <c r="C121" i="1" a="1"/>
  <c r="C120" i="1" a="1"/>
  <c r="C119" i="1" a="1"/>
  <c r="C118" i="1" a="1"/>
  <c r="C101" i="1" a="1"/>
  <c r="C100" i="1" a="1"/>
  <c r="C99" i="1" a="1"/>
  <c r="C98" i="1" a="1"/>
  <c r="C97" i="1" a="1"/>
  <c r="C96" i="1" a="1"/>
  <c r="C95" i="1" a="1"/>
  <c r="C90" i="1" a="1"/>
  <c r="C89" i="1" a="1"/>
  <c r="C88" i="1" a="1"/>
  <c r="C87" i="1" a="1"/>
  <c r="C86" i="1" a="1"/>
  <c r="C85" i="1" a="1"/>
  <c r="C84" i="1" a="1"/>
  <c r="C79" i="1" a="1"/>
  <c r="C78" i="1" a="1"/>
  <c r="C77" i="1" a="1"/>
  <c r="C76" i="1" a="1"/>
  <c r="C75" i="1" a="1"/>
  <c r="C74" i="1" a="1"/>
  <c r="C73" i="1" a="1"/>
  <c r="C72" i="1" a="1"/>
  <c r="C71" i="1" a="1"/>
  <c r="C70" i="1" a="1"/>
  <c r="C8" i="1" a="1"/>
  <c r="C308" i="1" a="1"/>
  <c r="C307" i="1" a="1"/>
  <c r="C306" i="1" a="1"/>
  <c r="C305" i="1" a="1"/>
  <c r="C304" i="1" a="1"/>
  <c r="C252" i="1" a="1"/>
  <c r="C251" i="1" a="1"/>
  <c r="C250" i="1" a="1"/>
  <c r="C249" i="1" a="1"/>
  <c r="C248" i="1" a="1"/>
  <c r="C247" i="1" a="1"/>
  <c r="C246" i="1" a="1"/>
  <c r="C245" i="1" a="1"/>
  <c r="C230" i="1" a="1"/>
  <c r="C229" i="1" a="1"/>
  <c r="C228" i="1" a="1"/>
  <c r="C227" i="1" a="1"/>
  <c r="C226" i="1" a="1"/>
  <c r="C210" i="1"/>
  <c r="C209" i="1"/>
  <c r="C208" i="1"/>
  <c r="C207" i="1"/>
  <c r="C202" i="1"/>
  <c r="C201" i="1"/>
  <c r="C200" i="1"/>
  <c r="C179" i="1" a="1"/>
  <c r="C178" i="1" a="1"/>
  <c r="C177" i="1" a="1"/>
  <c r="C176" i="1" a="1"/>
  <c r="C175" i="1" a="1"/>
  <c r="C174" i="1" a="1"/>
  <c r="C173" i="1" a="1"/>
  <c r="C172" i="1" a="1"/>
  <c r="C171" i="1" a="1"/>
  <c r="C170" i="1" a="1"/>
  <c r="C165" i="1" a="1"/>
  <c r="C164" i="1" a="1"/>
  <c r="C163" i="1" a="1"/>
  <c r="C162" i="1" a="1"/>
  <c r="C161" i="1" a="1"/>
  <c r="C160" i="1" a="1"/>
  <c r="C159" i="1" a="1"/>
  <c r="C154" i="1" a="1"/>
  <c r="C153" i="1" a="1"/>
  <c r="C152" i="1" a="1"/>
  <c r="C151" i="1" a="1"/>
  <c r="C150" i="1" a="1"/>
  <c r="C149" i="1" a="1"/>
  <c r="C148" i="1" a="1"/>
  <c r="C143" i="1" a="1"/>
  <c r="C142" i="1" a="1"/>
  <c r="C141" i="1" a="1"/>
  <c r="C140" i="1" a="1"/>
  <c r="C139" i="1" a="1"/>
  <c r="C138" i="1" a="1"/>
  <c r="C133" i="1" a="1"/>
  <c r="C132" i="1" a="1"/>
  <c r="C131" i="1" a="1"/>
  <c r="C130" i="1" a="1"/>
  <c r="C129" i="1" a="1"/>
  <c r="C128" i="1" a="1"/>
  <c r="C65" i="1" a="1"/>
  <c r="C64" i="1" a="1"/>
  <c r="C63" i="1" a="1"/>
  <c r="C62" i="1" a="1"/>
  <c r="C61" i="1" a="1"/>
  <c r="C56" i="1" a="1"/>
  <c r="C55" i="1" a="1"/>
  <c r="C54" i="1" a="1"/>
  <c r="C53" i="1" a="1"/>
  <c r="C52" i="1" a="1"/>
  <c r="C51" i="1" a="1"/>
  <c r="C50" i="1" a="1"/>
  <c r="A16" i="1"/>
  <c r="C38" i="1" l="1"/>
  <c r="D38" i="1" s="1" a="1"/>
  <c r="C39" i="1"/>
  <c r="D39" i="1" s="1" a="1"/>
  <c r="D39" i="1" s="1"/>
  <c r="C30" i="1"/>
  <c r="D30" i="1" s="1" a="1"/>
  <c r="D30" i="1" s="1"/>
  <c r="C31" i="1"/>
  <c r="D31" i="1" s="1" a="1"/>
  <c r="D31" i="1" s="1"/>
  <c r="C32" i="1"/>
  <c r="D32" i="1" s="1" a="1"/>
  <c r="D32" i="1" s="1"/>
  <c r="C41" i="1"/>
  <c r="D41" i="1" s="1" a="1"/>
  <c r="D41" i="1" s="1"/>
  <c r="C43" i="1"/>
  <c r="D43" i="1" s="1" a="1"/>
  <c r="C44" i="1"/>
  <c r="D44" i="1" s="1" a="1"/>
  <c r="C45" i="1"/>
  <c r="D45" i="1" s="1" a="1"/>
  <c r="D45" i="1" s="1"/>
  <c r="C33" i="1"/>
  <c r="D33" i="1" s="1" a="1"/>
  <c r="D33" i="1" s="1"/>
  <c r="C34" i="1"/>
  <c r="D34" i="1" s="1" a="1"/>
  <c r="D34" i="1" s="1"/>
  <c r="C35" i="1"/>
  <c r="D35" i="1" s="1" a="1"/>
  <c r="D35" i="1" s="1"/>
  <c r="C36" i="1"/>
  <c r="D36" i="1" s="1" a="1"/>
  <c r="D36" i="1" s="1"/>
  <c r="C40" i="1"/>
  <c r="D40" i="1" s="1" a="1"/>
  <c r="D40" i="1" s="1"/>
  <c r="C42" i="1"/>
  <c r="D42" i="1" s="1" a="1"/>
  <c r="D42" i="1" s="1"/>
  <c r="C37" i="1"/>
  <c r="D37" i="1" s="1" a="1"/>
  <c r="D37" i="1" s="1"/>
  <c r="C16" i="1" a="1"/>
  <c r="C25" i="1"/>
  <c r="C13" i="1"/>
  <c r="C24" i="1"/>
  <c r="C22" i="1"/>
  <c r="C10" i="1"/>
  <c r="C23" i="1"/>
  <c r="C29" i="1"/>
  <c r="C28" i="1"/>
  <c r="C14" i="1"/>
  <c r="C27" i="1"/>
  <c r="C11" i="1"/>
  <c r="C9" i="1"/>
  <c r="C26" i="1"/>
  <c r="C21" i="1"/>
  <c r="C20" i="1"/>
  <c r="C19" i="1"/>
  <c r="C18" i="1"/>
  <c r="C17" i="1"/>
  <c r="C12" i="1"/>
  <c r="C15" i="1"/>
  <c r="C457" i="1"/>
  <c r="C458" i="1"/>
  <c r="C461" i="1"/>
  <c r="C459" i="1"/>
  <c r="C460" i="1"/>
  <c r="D460" i="1"/>
  <c r="C449" i="1"/>
  <c r="C451" i="1"/>
  <c r="C450" i="1"/>
  <c r="C452" i="1"/>
  <c r="C453" i="1"/>
  <c r="D452" i="1"/>
  <c r="D461" i="1"/>
  <c r="D459" i="1"/>
  <c r="D450" i="1"/>
  <c r="D453" i="1"/>
  <c r="D451" i="1"/>
  <c r="C438" i="1"/>
  <c r="C439" i="1"/>
  <c r="C440" i="1"/>
  <c r="C441" i="1"/>
  <c r="C442" i="1"/>
  <c r="C443" i="1"/>
  <c r="C444" i="1"/>
  <c r="C432" i="1"/>
  <c r="C433" i="1"/>
  <c r="D433" i="1"/>
  <c r="C426" i="1"/>
  <c r="C427" i="1"/>
  <c r="B485" i="1"/>
  <c r="B486" i="1"/>
  <c r="C415" i="1"/>
  <c r="C416" i="1"/>
  <c r="C417" i="1"/>
  <c r="C418" i="1"/>
  <c r="C419" i="1"/>
  <c r="C420" i="1"/>
  <c r="C421" i="1"/>
  <c r="C398" i="1"/>
  <c r="C399" i="1"/>
  <c r="C400" i="1"/>
  <c r="C401" i="1"/>
  <c r="C402" i="1"/>
  <c r="C408" i="1"/>
  <c r="C407" i="1"/>
  <c r="C409" i="1"/>
  <c r="C410" i="1"/>
  <c r="D410" i="1"/>
  <c r="D409" i="1"/>
  <c r="A488" i="1"/>
  <c r="D389" i="1"/>
  <c r="D391" i="1"/>
  <c r="D392" i="1"/>
  <c r="D393" i="1"/>
  <c r="D390" i="1"/>
  <c r="C381" i="1"/>
  <c r="C383" i="1"/>
  <c r="C380" i="1"/>
  <c r="C382" i="1"/>
  <c r="C384" i="1"/>
  <c r="C350" i="1"/>
  <c r="C372" i="1"/>
  <c r="D372" i="1" s="1"/>
  <c r="C373" i="1"/>
  <c r="D373" i="1" s="1"/>
  <c r="C374" i="1"/>
  <c r="D374" i="1" s="1"/>
  <c r="C375" i="1"/>
  <c r="D375" i="1" s="1"/>
  <c r="C367" i="1"/>
  <c r="C365" i="1"/>
  <c r="D365" i="1" s="1"/>
  <c r="C366" i="1"/>
  <c r="D366" i="1" s="1"/>
  <c r="B3" i="1"/>
  <c r="C354" i="1"/>
  <c r="D354" i="1" s="1"/>
  <c r="C337" i="1"/>
  <c r="C338" i="1"/>
  <c r="C339" i="1"/>
  <c r="C340" i="1"/>
  <c r="C341" i="1"/>
  <c r="C342" i="1"/>
  <c r="C343" i="1"/>
  <c r="C348" i="1"/>
  <c r="C349" i="1"/>
  <c r="C352" i="1"/>
  <c r="C351" i="1"/>
  <c r="C357" i="1"/>
  <c r="C355" i="1"/>
  <c r="C356" i="1"/>
  <c r="C353" i="1"/>
  <c r="C359" i="1"/>
  <c r="C360" i="1"/>
  <c r="C358" i="1"/>
  <c r="C235" i="1"/>
  <c r="C325" i="1"/>
  <c r="C326" i="1"/>
  <c r="C327" i="1"/>
  <c r="C328" i="1"/>
  <c r="D328" i="1" s="1"/>
  <c r="C332" i="1"/>
  <c r="C329" i="1"/>
  <c r="C330" i="1"/>
  <c r="C331" i="1"/>
  <c r="D331" i="1"/>
  <c r="C319" i="1"/>
  <c r="D319" i="1" s="1"/>
  <c r="C313" i="1"/>
  <c r="C315" i="1"/>
  <c r="C316" i="1"/>
  <c r="C314" i="1"/>
  <c r="C317" i="1"/>
  <c r="C318" i="1"/>
  <c r="C320" i="1"/>
  <c r="D200" i="1"/>
  <c r="D201" i="1"/>
  <c r="E5" i="6"/>
  <c r="D202" i="1"/>
  <c r="C106" i="1"/>
  <c r="C107" i="1"/>
  <c r="C110" i="1"/>
  <c r="C111" i="1"/>
  <c r="C108" i="1"/>
  <c r="C109" i="1"/>
  <c r="C112" i="1"/>
  <c r="C113" i="1"/>
  <c r="C239" i="1"/>
  <c r="C150" i="1"/>
  <c r="C218" i="1"/>
  <c r="C273" i="1"/>
  <c r="C240" i="1"/>
  <c r="D240" i="1" s="1"/>
  <c r="C238" i="1"/>
  <c r="D238" i="1" s="1"/>
  <c r="C217" i="1"/>
  <c r="D217" i="1" s="1"/>
  <c r="C216" i="1"/>
  <c r="D216" i="1" s="1"/>
  <c r="C215" i="1"/>
  <c r="D215" i="1" s="1"/>
  <c r="C195" i="1"/>
  <c r="D195" i="1" s="1"/>
  <c r="C194" i="1"/>
  <c r="D194" i="1" s="1"/>
  <c r="C193" i="1"/>
  <c r="D193" i="1" s="1"/>
  <c r="C188" i="1"/>
  <c r="D188" i="1" s="1"/>
  <c r="C187" i="1"/>
  <c r="D187" i="1" s="1"/>
  <c r="C186" i="1"/>
  <c r="D186" i="1" s="1"/>
  <c r="C185" i="1"/>
  <c r="D185" i="1" s="1"/>
  <c r="C184" i="1"/>
  <c r="D184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01" i="1"/>
  <c r="D101" i="1" s="1"/>
  <c r="C100" i="1"/>
  <c r="D100" i="1" s="1"/>
  <c r="C99" i="1"/>
  <c r="D99" i="1" s="1"/>
  <c r="C98" i="1"/>
  <c r="D98" i="1" s="1"/>
  <c r="C97" i="1"/>
  <c r="D97" i="1" s="1"/>
  <c r="C96" i="1"/>
  <c r="D96" i="1" s="1"/>
  <c r="C95" i="1"/>
  <c r="D95" i="1" s="1"/>
  <c r="C90" i="1"/>
  <c r="D90" i="1" s="1"/>
  <c r="C89" i="1"/>
  <c r="D89" i="1" s="1"/>
  <c r="C88" i="1"/>
  <c r="D88" i="1" s="1"/>
  <c r="C87" i="1"/>
  <c r="D87" i="1" s="1"/>
  <c r="C86" i="1"/>
  <c r="D86" i="1" s="1"/>
  <c r="C85" i="1"/>
  <c r="D85" i="1" s="1"/>
  <c r="C84" i="1"/>
  <c r="D84" i="1" s="1"/>
  <c r="C79" i="1"/>
  <c r="D79" i="1" s="1"/>
  <c r="C78" i="1"/>
  <c r="D78" i="1" s="1"/>
  <c r="C77" i="1"/>
  <c r="D77" i="1" s="1"/>
  <c r="C76" i="1"/>
  <c r="D76" i="1" s="1"/>
  <c r="C75" i="1"/>
  <c r="D75" i="1" s="1"/>
  <c r="C74" i="1"/>
  <c r="D74" i="1" s="1"/>
  <c r="C73" i="1"/>
  <c r="D73" i="1" s="1"/>
  <c r="C72" i="1"/>
  <c r="D72" i="1" s="1"/>
  <c r="C71" i="1"/>
  <c r="D71" i="1" s="1"/>
  <c r="C70" i="1"/>
  <c r="D70" i="1" s="1"/>
  <c r="C8" i="1"/>
  <c r="D8" i="1" s="1" a="1"/>
  <c r="D8" i="1" s="1"/>
  <c r="C271" i="1"/>
  <c r="C265" i="1"/>
  <c r="C237" i="1"/>
  <c r="D237" i="1" s="1"/>
  <c r="C219" i="1"/>
  <c r="D219" i="1" s="1"/>
  <c r="C272" i="1"/>
  <c r="C236" i="1"/>
  <c r="D236" i="1" s="1"/>
  <c r="C220" i="1"/>
  <c r="D220" i="1" s="1"/>
  <c r="C259" i="1"/>
  <c r="C280" i="1"/>
  <c r="C278" i="1"/>
  <c r="C277" i="1"/>
  <c r="C276" i="1"/>
  <c r="C258" i="1"/>
  <c r="C261" i="1"/>
  <c r="C279" i="1"/>
  <c r="C260" i="1"/>
  <c r="C274" i="1"/>
  <c r="C221" i="1"/>
  <c r="D221" i="1" s="1"/>
  <c r="C266" i="1"/>
  <c r="C264" i="1"/>
  <c r="C263" i="1"/>
  <c r="C262" i="1"/>
  <c r="C275" i="1"/>
  <c r="C257" i="1"/>
  <c r="C230" i="1"/>
  <c r="D230" i="1" s="1"/>
  <c r="C228" i="1"/>
  <c r="D228" i="1" s="1"/>
  <c r="C226" i="1"/>
  <c r="C178" i="1"/>
  <c r="D178" i="1" s="1"/>
  <c r="C175" i="1"/>
  <c r="D175" i="1" s="1"/>
  <c r="C172" i="1"/>
  <c r="D172" i="1" s="1"/>
  <c r="C164" i="1"/>
  <c r="D164" i="1" s="1"/>
  <c r="C161" i="1"/>
  <c r="D161" i="1" s="1"/>
  <c r="C154" i="1"/>
  <c r="D154" i="1" s="1"/>
  <c r="C153" i="1"/>
  <c r="D153" i="1" s="1"/>
  <c r="C61" i="1"/>
  <c r="D61" i="1" s="1"/>
  <c r="C149" i="1"/>
  <c r="D149" i="1" s="1"/>
  <c r="C148" i="1"/>
  <c r="D148" i="1" s="1"/>
  <c r="C143" i="1"/>
  <c r="D143" i="1" s="1"/>
  <c r="C142" i="1"/>
  <c r="D142" i="1" s="1"/>
  <c r="C141" i="1"/>
  <c r="D141" i="1" s="1"/>
  <c r="C140" i="1"/>
  <c r="D140" i="1" s="1"/>
  <c r="C139" i="1"/>
  <c r="D139" i="1" s="1"/>
  <c r="C138" i="1"/>
  <c r="D138" i="1" s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C65" i="1"/>
  <c r="D65" i="1" s="1"/>
  <c r="C64" i="1"/>
  <c r="D64" i="1" s="1"/>
  <c r="C63" i="1"/>
  <c r="D63" i="1" s="1"/>
  <c r="C62" i="1"/>
  <c r="D62" i="1" s="1"/>
  <c r="C53" i="1"/>
  <c r="D53" i="1" s="1"/>
  <c r="C51" i="1"/>
  <c r="D51" i="1" s="1"/>
  <c r="C50" i="1"/>
  <c r="D50" i="1" s="1"/>
  <c r="D207" i="1"/>
  <c r="D208" i="1"/>
  <c r="D209" i="1"/>
  <c r="D210" i="1"/>
  <c r="C179" i="1"/>
  <c r="D179" i="1" s="1"/>
  <c r="C176" i="1"/>
  <c r="D176" i="1" s="1"/>
  <c r="C171" i="1"/>
  <c r="D171" i="1" s="1"/>
  <c r="C165" i="1"/>
  <c r="D165" i="1" s="1"/>
  <c r="C162" i="1"/>
  <c r="D162" i="1" s="1"/>
  <c r="C159" i="1"/>
  <c r="D159" i="1" s="1"/>
  <c r="C152" i="1"/>
  <c r="D152" i="1" s="1"/>
  <c r="C56" i="1"/>
  <c r="D56" i="1" s="1"/>
  <c r="C54" i="1"/>
  <c r="D54" i="1" s="1"/>
  <c r="C247" i="1"/>
  <c r="C246" i="1"/>
  <c r="C229" i="1"/>
  <c r="D229" i="1" s="1"/>
  <c r="C227" i="1"/>
  <c r="D227" i="1" s="1"/>
  <c r="C177" i="1"/>
  <c r="D177" i="1" s="1"/>
  <c r="C174" i="1"/>
  <c r="D174" i="1" s="1"/>
  <c r="C173" i="1"/>
  <c r="D173" i="1" s="1"/>
  <c r="C170" i="1"/>
  <c r="D170" i="1" s="1"/>
  <c r="C163" i="1"/>
  <c r="D163" i="1" s="1"/>
  <c r="C160" i="1"/>
  <c r="D160" i="1" s="1"/>
  <c r="C151" i="1"/>
  <c r="D151" i="1" s="1"/>
  <c r="C55" i="1"/>
  <c r="D55" i="1" s="1"/>
  <c r="C52" i="1"/>
  <c r="D52" i="1" s="1"/>
  <c r="C308" i="1"/>
  <c r="C307" i="1"/>
  <c r="C306" i="1"/>
  <c r="C305" i="1"/>
  <c r="C252" i="1"/>
  <c r="C304" i="1"/>
  <c r="C250" i="1"/>
  <c r="C251" i="1"/>
  <c r="C248" i="1"/>
  <c r="C245" i="1"/>
  <c r="C249" i="1"/>
  <c r="D294" i="1"/>
  <c r="D292" i="1"/>
  <c r="D288" i="1"/>
  <c r="D287" i="1"/>
  <c r="D290" i="1"/>
  <c r="D299" i="1"/>
  <c r="D291" i="1"/>
  <c r="D289" i="1"/>
  <c r="D293" i="1"/>
  <c r="D298" i="1"/>
  <c r="D286" i="1"/>
  <c r="D297" i="1"/>
  <c r="D296" i="1"/>
  <c r="D285" i="1"/>
  <c r="D295" i="1"/>
  <c r="D26" i="1" l="1" a="1"/>
  <c r="D26" i="1" s="1"/>
  <c r="D38" i="1"/>
  <c r="D43" i="1"/>
  <c r="D44" i="1"/>
  <c r="D27" i="1" a="1"/>
  <c r="D27" i="1" s="1"/>
  <c r="D28" i="1" a="1"/>
  <c r="D29" i="1" a="1"/>
  <c r="D449" i="1"/>
  <c r="D13" i="1" a="1"/>
  <c r="D13" i="1" s="1"/>
  <c r="D14" i="1" a="1"/>
  <c r="D14" i="1" s="1"/>
  <c r="C16" i="1"/>
  <c r="D458" i="1"/>
  <c r="D457" i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5" i="1" a="1"/>
  <c r="D15" i="1" s="1"/>
  <c r="D12" i="1" a="1"/>
  <c r="D12" i="1" s="1"/>
  <c r="D11" i="1" a="1"/>
  <c r="D11" i="1" s="1"/>
  <c r="D10" i="1" a="1"/>
  <c r="D10" i="1" s="1"/>
  <c r="D9" i="1" a="1"/>
  <c r="D9" i="1" s="1"/>
  <c r="D29" i="1"/>
  <c r="D28" i="1"/>
  <c r="D432" i="1"/>
  <c r="D440" i="1"/>
  <c r="D441" i="1"/>
  <c r="D439" i="1"/>
  <c r="D442" i="1"/>
  <c r="D443" i="1"/>
  <c r="D444" i="1"/>
  <c r="D427" i="1"/>
  <c r="D426" i="1"/>
  <c r="D343" i="1"/>
  <c r="D438" i="1"/>
  <c r="D419" i="1"/>
  <c r="D418" i="1"/>
  <c r="D421" i="1"/>
  <c r="D420" i="1"/>
  <c r="D416" i="1"/>
  <c r="D417" i="1"/>
  <c r="D415" i="1"/>
  <c r="D407" i="1"/>
  <c r="D358" i="1"/>
  <c r="D408" i="1"/>
  <c r="D398" i="1"/>
  <c r="D400" i="1"/>
  <c r="D401" i="1"/>
  <c r="D402" i="1"/>
  <c r="D399" i="1"/>
  <c r="D380" i="1"/>
  <c r="D381" i="1"/>
  <c r="D382" i="1"/>
  <c r="D383" i="1"/>
  <c r="D384" i="1"/>
  <c r="D394" i="1"/>
  <c r="D337" i="1"/>
  <c r="D340" i="1"/>
  <c r="D342" i="1"/>
  <c r="D338" i="1"/>
  <c r="D341" i="1"/>
  <c r="A485" i="1" a="1"/>
  <c r="A485" i="1" s="1"/>
  <c r="D367" i="1"/>
  <c r="D376" i="1"/>
  <c r="D339" i="1"/>
  <c r="D325" i="1"/>
  <c r="D332" i="1"/>
  <c r="D326" i="1"/>
  <c r="D330" i="1"/>
  <c r="D327" i="1"/>
  <c r="D353" i="1"/>
  <c r="D359" i="1"/>
  <c r="D356" i="1"/>
  <c r="D357" i="1"/>
  <c r="D348" i="1"/>
  <c r="D351" i="1"/>
  <c r="D352" i="1"/>
  <c r="D349" i="1"/>
  <c r="D350" i="1"/>
  <c r="D355" i="1"/>
  <c r="D235" i="1"/>
  <c r="D150" i="1"/>
  <c r="D360" i="1"/>
  <c r="D329" i="1"/>
  <c r="D250" i="1"/>
  <c r="D249" i="1"/>
  <c r="D252" i="1"/>
  <c r="D318" i="1"/>
  <c r="D315" i="1"/>
  <c r="D317" i="1"/>
  <c r="D314" i="1"/>
  <c r="D313" i="1"/>
  <c r="D320" i="1"/>
  <c r="D110" i="1"/>
  <c r="D109" i="1"/>
  <c r="D108" i="1"/>
  <c r="D107" i="1"/>
  <c r="D106" i="1"/>
  <c r="D316" i="1"/>
  <c r="D203" i="1"/>
  <c r="D113" i="1"/>
  <c r="D112" i="1"/>
  <c r="D111" i="1"/>
  <c r="D239" i="1"/>
  <c r="D248" i="1"/>
  <c r="D245" i="1"/>
  <c r="D218" i="1"/>
  <c r="D102" i="1"/>
  <c r="D265" i="1"/>
  <c r="D257" i="1"/>
  <c r="D226" i="1"/>
  <c r="D124" i="1"/>
  <c r="D262" i="1"/>
  <c r="D260" i="1"/>
  <c r="D266" i="1"/>
  <c r="D259" i="1"/>
  <c r="D263" i="1"/>
  <c r="D261" i="1"/>
  <c r="D264" i="1"/>
  <c r="D258" i="1"/>
  <c r="D189" i="1"/>
  <c r="D196" i="1"/>
  <c r="D80" i="1"/>
  <c r="D91" i="1"/>
  <c r="D246" i="1"/>
  <c r="D247" i="1"/>
  <c r="D211" i="1"/>
  <c r="D180" i="1"/>
  <c r="D166" i="1"/>
  <c r="D144" i="1"/>
  <c r="D134" i="1"/>
  <c r="D66" i="1"/>
  <c r="D57" i="1"/>
  <c r="D308" i="1"/>
  <c r="D304" i="1"/>
  <c r="D280" i="1"/>
  <c r="D279" i="1"/>
  <c r="D305" i="1"/>
  <c r="D306" i="1"/>
  <c r="D307" i="1"/>
  <c r="D277" i="1"/>
  <c r="D275" i="1"/>
  <c r="D251" i="1"/>
  <c r="D278" i="1"/>
  <c r="D300" i="1"/>
  <c r="D272" i="1"/>
  <c r="D271" i="1"/>
  <c r="D274" i="1"/>
  <c r="D273" i="1"/>
  <c r="D276" i="1"/>
  <c r="D454" i="1" l="1"/>
  <c r="D462" i="1"/>
  <c r="D434" i="1"/>
  <c r="D16" i="1" a="1"/>
  <c r="D16" i="1" s="1"/>
  <c r="D428" i="1"/>
  <c r="D445" i="1"/>
  <c r="D422" i="1"/>
  <c r="D403" i="1"/>
  <c r="D411" i="1"/>
  <c r="D385" i="1"/>
  <c r="D368" i="1"/>
  <c r="D344" i="1"/>
  <c r="B487" i="1"/>
  <c r="D155" i="1"/>
  <c r="D333" i="1"/>
  <c r="D114" i="1"/>
  <c r="D361" i="1"/>
  <c r="D241" i="1"/>
  <c r="D321" i="1"/>
  <c r="D222" i="1"/>
  <c r="D231" i="1"/>
  <c r="D267" i="1"/>
  <c r="D281" i="1"/>
  <c r="D309" i="1"/>
  <c r="D253" i="1"/>
  <c r="D46" i="1" l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factorial
sys.set_int_max_str_digits(32766)
a = int(xl(%P2%))
b = int(xl(%P3%))
str(factorial(a))</code>
    </pythonScript>
  </pythonScripts>
</python>
</file>

<file path=xl/sharedStrings.xml><?xml version="1.0" encoding="utf-8"?>
<sst xmlns="http://schemas.openxmlformats.org/spreadsheetml/2006/main" count="1051" uniqueCount="696">
  <si>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</si>
  <si>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</si>
  <si>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</si>
  <si>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</si>
  <si>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</si>
  <si>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</si>
  <si>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</si>
  <si>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</si>
  <si>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</si>
  <si>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</si>
  <si>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</si>
  <si>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</si>
  <si>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</si>
  <si>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</si>
  <si>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</si>
  <si>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</si>
  <si>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</si>
  <si>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</si>
  <si>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</si>
  <si>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</si>
  <si>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</si>
  <si>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</si>
  <si>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</si>
  <si>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</si>
  <si>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</si>
  <si>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</si>
  <si>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</si>
  <si>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</si>
  <si>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</si>
  <si>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</si>
  <si>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</si>
  <si>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</si>
  <si>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</si>
  <si>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</si>
  <si>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</si>
  <si>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</si>
  <si>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</si>
  <si>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</si>
  <si>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</si>
  <si>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</si>
  <si>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</si>
  <si>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</si>
  <si>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</si>
  <si>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</si>
  <si>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</si>
  <si>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</si>
  <si>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</si>
  <si>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</si>
  <si>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</si>
  <si>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</si>
  <si>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</si>
  <si>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</si>
  <si>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</si>
  <si>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</si>
  <si>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</si>
  <si>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</si>
  <si>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</si>
  <si>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</si>
  <si>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</si>
  <si>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</si>
  <si>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</si>
  <si>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</si>
  <si>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</si>
  <si>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</si>
  <si>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</si>
  <si>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</si>
  <si>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</si>
  <si>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</si>
  <si>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</si>
  <si>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</si>
  <si>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</si>
  <si>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</si>
  <si>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</si>
  <si>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</si>
  <si>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</si>
  <si>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</si>
  <si>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</si>
  <si>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</si>
  <si>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</si>
  <si>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</si>
  <si>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</si>
  <si>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</si>
  <si>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</si>
  <si>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</si>
  <si>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</si>
  <si>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</si>
  <si>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</si>
  <si>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</si>
  <si>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</si>
  <si>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</si>
  <si>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</si>
  <si>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</si>
  <si>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</si>
  <si>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</si>
  <si>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</si>
  <si>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</si>
  <si>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</si>
  <si>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</si>
  <si>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</si>
  <si>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</si>
  <si>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</si>
  <si>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</si>
  <si>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</si>
  <si>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</si>
  <si>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</si>
  <si>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</si>
  <si>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</si>
  <si>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</si>
  <si>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</si>
  <si>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</si>
  <si>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</si>
  <si>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</si>
  <si>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</si>
  <si>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</si>
  <si>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</si>
  <si>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</si>
  <si>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</si>
  <si>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</si>
  <si>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</si>
  <si>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</si>
  <si>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</si>
  <si>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</si>
  <si>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</si>
  <si>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</si>
  <si>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</si>
  <si>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</si>
  <si>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</si>
  <si>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</si>
  <si>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</si>
  <si>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</si>
  <si>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</si>
  <si>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</si>
  <si>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</si>
  <si>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</si>
  <si>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</si>
  <si>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</si>
  <si>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</si>
  <si>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</si>
  <si>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</si>
  <si>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</si>
  <si>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</si>
  <si>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</si>
  <si>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</si>
  <si>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</si>
  <si>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</si>
  <si>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</si>
  <si>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</si>
  <si>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</si>
  <si>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</si>
  <si>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</si>
  <si>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</si>
  <si>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</si>
  <si>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</si>
  <si>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</si>
  <si>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</si>
  <si>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</si>
  <si>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</si>
  <si>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</si>
  <si>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</si>
  <si>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</si>
  <si>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</si>
  <si>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</si>
  <si>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</si>
  <si>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</si>
  <si>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</si>
  <si>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</si>
  <si>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</si>
  <si>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</si>
  <si>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</si>
  <si>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</si>
  <si>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</si>
  <si>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</si>
  <si>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</si>
  <si>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</si>
  <si>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</si>
  <si>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</si>
  <si>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</si>
  <si>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</si>
  <si>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</si>
  <si>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</si>
  <si>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</si>
  <si>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</si>
  <si>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</si>
  <si>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</si>
  <si>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</si>
  <si>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</si>
  <si>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</si>
  <si>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</si>
  <si>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</si>
  <si>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</si>
  <si>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</si>
  <si>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</si>
  <si>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</si>
  <si>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</si>
  <si>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</si>
  <si>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</si>
  <si>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</si>
  <si>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</si>
  <si>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</si>
  <si>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</si>
  <si>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</si>
  <si>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</si>
  <si>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</si>
  <si>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</si>
  <si>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</si>
  <si>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</si>
  <si>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</si>
  <si>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</si>
  <si>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</si>
  <si>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</si>
  <si>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</si>
  <si>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</si>
  <si>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</si>
  <si>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</si>
  <si>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</si>
  <si>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</si>
  <si>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</si>
  <si>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</si>
  <si>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</si>
  <si>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</si>
  <si>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</si>
  <si>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</si>
  <si>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</si>
  <si>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</si>
  <si>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</si>
  <si>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</si>
  <si>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</si>
  <si>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</si>
  <si>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</si>
  <si>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</si>
  <si>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</si>
  <si>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</si>
  <si>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</si>
  <si>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</si>
  <si>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</si>
  <si>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</si>
  <si>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</si>
  <si>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</si>
  <si>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</si>
  <si>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</si>
  <si>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</si>
  <si>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</si>
  <si>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</si>
  <si>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</si>
  <si>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</si>
  <si>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</si>
  <si>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</si>
  <si>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</si>
  <si>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</si>
  <si>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</si>
  <si>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</si>
  <si>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</si>
  <si>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</si>
  <si>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</si>
  <si>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</si>
  <si>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</si>
  <si>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</si>
  <si>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</si>
  <si>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</si>
  <si>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</si>
  <si>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</si>
  <si>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</si>
  <si>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</si>
  <si>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</si>
  <si>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</si>
  <si>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</si>
  <si>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</si>
  <si>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</si>
  <si>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</si>
  <si>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</si>
  <si>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</si>
  <si>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</si>
  <si>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</si>
  <si>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</si>
  <si>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</si>
  <si>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</si>
  <si>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</si>
  <si>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</si>
  <si>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</si>
  <si>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</si>
  <si>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</si>
  <si>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</si>
  <si>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</si>
  <si>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</si>
  <si>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</si>
  <si>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</si>
  <si>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</si>
  <si>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</si>
  <si>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</si>
  <si>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</si>
  <si>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</si>
  <si>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</si>
  <si>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</si>
  <si>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</si>
  <si>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</si>
  <si>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</si>
  <si>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</si>
  <si>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</si>
  <si>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</si>
  <si>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</si>
  <si>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</si>
  <si>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</si>
  <si>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</si>
  <si>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</si>
  <si>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</si>
  <si>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</si>
  <si>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</si>
  <si>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</si>
  <si>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</si>
  <si>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</si>
  <si>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</si>
  <si>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</si>
  <si>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</si>
  <si>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</si>
  <si>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</si>
  <si>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</si>
  <si>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</si>
  <si>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</si>
  <si>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</si>
  <si>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</si>
  <si>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</si>
  <si>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</si>
  <si>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</si>
  <si>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</si>
  <si>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</si>
  <si>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</si>
  <si>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</si>
  <si>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</si>
  <si>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</si>
  <si>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</si>
  <si>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</si>
  <si>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</si>
  <si>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</si>
  <si>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</si>
  <si>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</si>
  <si>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</si>
  <si>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</si>
  <si>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</si>
  <si>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</si>
  <si>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</si>
  <si>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</si>
  <si>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</si>
  <si>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</si>
  <si>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</si>
  <si>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</si>
  <si>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</si>
  <si>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</si>
  <si>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</si>
  <si>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</si>
  <si>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</si>
  <si>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</si>
  <si>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</si>
  <si>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</si>
  <si>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</si>
  <si>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</si>
  <si>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</si>
  <si>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</si>
  <si>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</si>
  <si>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</si>
  <si>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</si>
  <si>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</si>
  <si>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</si>
  <si>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</si>
  <si>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</si>
  <si>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</si>
  <si>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</si>
  <si>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</si>
  <si>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</si>
  <si>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</si>
  <si>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</si>
  <si>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</si>
  <si>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</si>
  <si>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</si>
  <si>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</si>
  <si>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</si>
  <si>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</si>
  <si>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</si>
  <si>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</si>
  <si>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</si>
  <si>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</si>
  <si>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</si>
  <si>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</si>
  <si>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</si>
  <si>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</si>
  <si>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</si>
  <si>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</si>
  <si>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</si>
  <si>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</si>
  <si>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</si>
  <si>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</si>
  <si>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</si>
  <si>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</si>
  <si>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</si>
  <si>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</si>
  <si>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</si>
  <si>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</si>
  <si>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</si>
  <si>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</si>
  <si>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</si>
  <si>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</si>
  <si>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</si>
  <si>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</si>
  <si>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</si>
  <si>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</si>
  <si>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</si>
  <si>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</si>
  <si>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</si>
  <si>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</si>
  <si>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</si>
  <si>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</si>
  <si>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</si>
  <si>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</si>
  <si>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</si>
  <si>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</si>
  <si>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</si>
  <si>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</si>
  <si>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</si>
  <si>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</si>
  <si>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</si>
  <si>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</si>
  <si>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</si>
  <si>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</si>
  <si>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</si>
  <si>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</si>
  <si>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</si>
  <si>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</si>
  <si>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</si>
  <si>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</si>
  <si>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</si>
  <si>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</si>
  <si>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</si>
  <si>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</si>
  <si>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</si>
  <si>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</si>
  <si>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</si>
  <si>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</si>
  <si>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</si>
  <si>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</si>
  <si>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</si>
  <si>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</si>
  <si>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</si>
  <si>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</si>
  <si>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</si>
  <si>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</si>
  <si>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</si>
  <si>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</si>
  <si>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</si>
  <si>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</si>
  <si>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</si>
  <si>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</si>
  <si>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</si>
  <si>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</si>
  <si>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</si>
  <si>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</si>
  <si>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</si>
  <si>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</si>
  <si>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</si>
  <si>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</si>
  <si>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</si>
  <si>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</si>
  <si>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</si>
  <si>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</si>
  <si>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</si>
  <si>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</si>
  <si>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</si>
  <si>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</si>
  <si>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</si>
  <si>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</si>
  <si>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</si>
  <si>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</si>
  <si>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</si>
  <si>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</si>
  <si>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</si>
  <si>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</si>
  <si>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</si>
  <si>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</si>
  <si>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</si>
  <si>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</si>
  <si>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</si>
  <si>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</si>
  <si>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</si>
  <si>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</si>
  <si>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</si>
  <si>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</si>
  <si>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</si>
  <si>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</si>
  <si>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</si>
  <si>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</si>
  <si>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</si>
  <si>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</si>
  <si>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</si>
  <si>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</si>
  <si>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</si>
  <si>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</si>
  <si>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</si>
  <si>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</si>
  <si>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</si>
  <si>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</si>
  <si>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</si>
  <si>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</si>
  <si>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</si>
  <si>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</si>
  <si>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</si>
  <si>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</si>
  <si>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</si>
  <si>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</si>
  <si>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</si>
  <si>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</si>
  <si>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</si>
  <si>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</si>
  <si>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</si>
  <si>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</si>
  <si>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</si>
  <si>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</si>
  <si>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</si>
  <si>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</si>
  <si>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</si>
  <si>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</si>
  <si>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</si>
  <si>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</si>
  <si>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</si>
  <si>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</si>
  <si>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</si>
  <si>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</si>
  <si>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</si>
  <si>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</si>
  <si>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</si>
  <si>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</si>
  <si>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</si>
  <si>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</si>
  <si>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</si>
  <si>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</si>
  <si>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</si>
  <si>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</si>
  <si>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</si>
  <si>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</si>
  <si>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</si>
  <si>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</si>
  <si>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</si>
  <si>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</si>
  <si>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</si>
  <si>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</si>
  <si>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</si>
  <si>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</si>
  <si>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</si>
  <si>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</si>
  <si>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</si>
  <si>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</si>
  <si>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</si>
  <si>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</si>
  <si>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</si>
  <si>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</si>
  <si>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</si>
  <si>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</si>
  <si>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</si>
  <si>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</si>
  <si>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</si>
  <si>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</si>
  <si>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</si>
  <si>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</si>
  <si>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</si>
  <si>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</si>
  <si>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</si>
  <si>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</si>
  <si>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</si>
  <si>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</si>
  <si>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</si>
  <si>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</si>
  <si>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</si>
  <si>
    <t>{2;3;5;7}</t>
  </si>
  <si>
    <t>{2;3;5;7;11;13;17;19}</t>
  </si>
  <si>
    <r>
      <rPr>
        <b/>
        <sz val="11"/>
        <color theme="1"/>
        <rFont val="Aptos Narrow"/>
        <family val="2"/>
        <scheme val="minor"/>
      </rPr>
      <t xml:space="preserve">Minimum: </t>
    </r>
    <r>
      <rPr>
        <sz val="11"/>
        <color theme="1"/>
        <rFont val="Aptos Narrow"/>
        <family val="2"/>
        <scheme val="minor"/>
      </rPr>
      <t>Smallest prime boundary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</si>
  <si>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sequence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</si>
  <si>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Larger sequence verification</t>
    </r>
  </si>
  <si>
    <r>
      <rPr>
        <b/>
        <sz val="11"/>
        <color theme="1"/>
        <rFont val="Aptos Narrow"/>
        <family val="2"/>
        <scheme val="minor"/>
      </rPr>
      <t>Invalid:</t>
    </r>
    <r>
      <rPr>
        <sz val="11"/>
        <color theme="1"/>
        <rFont val="Aptos Narrow"/>
        <family val="2"/>
        <scheme val="minor"/>
      </rPr>
      <t xml:space="preserve"> Below mathematical minimum trap</t>
    </r>
  </si>
  <si>
    <r>
      <rPr>
        <b/>
        <sz val="11"/>
        <color theme="1"/>
        <rFont val="Aptos Narrow"/>
        <family val="2"/>
        <scheme val="minor"/>
      </rPr>
      <t xml:space="preserve">Invalid: </t>
    </r>
    <r>
      <rPr>
        <sz val="11"/>
        <color theme="1"/>
        <rFont val="Aptos Narrow"/>
        <family val="2"/>
        <scheme val="minor"/>
      </rPr>
      <t>Zero bounds trap</t>
    </r>
  </si>
  <si>
    <t>core_BigInt.NativePrimes</t>
  </si>
  <si>
    <t>n=10
primes={2; 3; 5; 7}</t>
  </si>
  <si>
    <t>n=5
primes={2; 3; 5}</t>
  </si>
  <si>
    <t>core_BigInt.TextTreeProd</t>
  </si>
  <si>
    <t>{5}</t>
  </si>
  <si>
    <t>{2;3}</t>
  </si>
  <si>
    <t>{2;3;4}</t>
  </si>
  <si>
    <t>{2;3;4;5}</t>
  </si>
  <si>
    <t>6</t>
  </si>
  <si>
    <t>24</t>
  </si>
  <si>
    <t>120</t>
  </si>
  <si>
    <r>
      <rPr>
        <b/>
        <sz val="11"/>
        <color theme="1"/>
        <rFont val="Aptos Narrow"/>
        <family val="2"/>
        <scheme val="minor"/>
      </rPr>
      <t>Even Elements:</t>
    </r>
    <r>
      <rPr>
        <sz val="11"/>
        <color theme="1"/>
        <rFont val="Aptos Narrow"/>
        <family val="2"/>
        <scheme val="minor"/>
      </rPr>
      <t xml:space="preserve"> folds two items.</t>
    </r>
  </si>
  <si>
    <r>
      <rPr>
        <b/>
        <sz val="11"/>
        <color theme="1"/>
        <rFont val="Aptos Narrow"/>
        <family val="2"/>
        <scheme val="minor"/>
      </rPr>
      <t>Odd Elements:</t>
    </r>
    <r>
      <rPr>
        <sz val="11"/>
        <color theme="1"/>
        <rFont val="Aptos Narrow"/>
        <family val="2"/>
        <scheme val="minor"/>
      </rPr>
      <t xml:space="preserve"> folds three items by padding with a fourth.</t>
    </r>
  </si>
  <si>
    <r>
      <rPr>
        <b/>
        <sz val="11"/>
        <color theme="1"/>
        <rFont val="Aptos Narrow"/>
        <family val="2"/>
        <scheme val="minor"/>
      </rPr>
      <t>Multi-Tier:</t>
    </r>
    <r>
      <rPr>
        <sz val="11"/>
        <color theme="1"/>
        <rFont val="Aptos Narrow"/>
        <family val="2"/>
        <scheme val="minor"/>
      </rPr>
      <t xml:space="preserve"> folding four items.</t>
    </r>
  </si>
  <si>
    <r>
      <rPr>
        <b/>
        <sz val="11"/>
        <color theme="1"/>
        <rFont val="Aptos Narrow"/>
        <family val="2"/>
        <scheme val="minor"/>
      </rPr>
      <t>Base:</t>
    </r>
    <r>
      <rPr>
        <sz val="11"/>
        <color theme="1"/>
        <rFont val="Aptos Narrow"/>
        <family val="2"/>
        <scheme val="minor"/>
      </rPr>
      <t xml:space="preserve"> bypasses one item.</t>
    </r>
  </si>
  <si>
    <t>core_BigInt.UTextMul</t>
  </si>
  <si>
    <t>a=123456
b=2</t>
  </si>
  <si>
    <t>246912</t>
  </si>
  <si>
    <t>a=1000
b=1000</t>
  </si>
  <si>
    <t>1000000</t>
  </si>
  <si>
    <t>a=0
b=123456789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</si>
  <si>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check.</t>
    </r>
  </si>
  <si>
    <r>
      <rPr>
        <b/>
        <sz val="11"/>
        <color theme="1"/>
        <rFont val="Aptos Narrow"/>
        <family val="2"/>
        <scheme val="minor"/>
      </rPr>
      <t>Magnitude Discrepancy:</t>
    </r>
    <r>
      <rPr>
        <sz val="11"/>
        <color theme="1"/>
        <rFont val="Aptos Narrow"/>
        <family val="2"/>
        <scheme val="minor"/>
      </rPr>
      <t xml:space="preserve"> Negative * positive is negative.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</si>
  <si>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limbs extend</t>
    </r>
  </si>
  <si>
    <t>Zero factorial identity</t>
  </si>
  <si>
    <t>One factorial identity</t>
  </si>
  <si>
    <t>Standard small factorial evaluation</t>
  </si>
  <si>
    <t>Standard larger factorial evaluation</t>
  </si>
  <si>
    <t>Trap negative integer inputs</t>
  </si>
  <si>
    <t>Value bounds trap (Firewall 2)</t>
  </si>
  <si>
    <t>String length bounds trap (Firewall 1)</t>
  </si>
  <si>
    <t>10</t>
  </si>
  <si>
    <t>3628800</t>
  </si>
  <si>
    <t>-5</t>
  </si>
  <si>
    <t>9274</t>
  </si>
  <si>
    <t>10000</t>
  </si>
  <si>
    <t>BigInt.Fact</t>
  </si>
  <si>
    <t>Standard small boundary</t>
  </si>
  <si>
    <t>Even and zero exponents ($10!$ swing term excludes 3)</t>
  </si>
  <si>
    <t>core_BigInt.NativeSwingExponents</t>
  </si>
  <si>
    <t>{1;1;1}</t>
  </si>
  <si>
    <t>{2;2;0;1}</t>
  </si>
  <si>
    <t>Standard evaluation</t>
  </si>
  <si>
    <t>Multi-tier evaluation</t>
  </si>
  <si>
    <t>n=5
global_primes={2; 3; 5}</t>
  </si>
  <si>
    <t>n=10
global_primes={2; 3; 5; 7}</t>
  </si>
  <si>
    <t>core_BigInt.PrimeSwingKernel</t>
  </si>
  <si>
    <t>core_BigInt.TreeCompare</t>
  </si>
  <si>
    <t>range={42}
mode=1</t>
  </si>
  <si>
    <t>-10</t>
  </si>
  <si>
    <t>42</t>
  </si>
  <si>
    <t>range={10;20;5;30}
mode=1</t>
  </si>
  <si>
    <t>range={10;20;5;30}
mode=-1</t>
  </si>
  <si>
    <t>range={10;20;30}
mode=1</t>
  </si>
  <si>
    <t>range={10;20;30}
mode=-1</t>
  </si>
  <si>
    <t>range={-10;0;10}
mode=-1</t>
  </si>
  <si>
    <t>range={5;5;5}
mode=1</t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</si>
  <si>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</si>
  <si>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</si>
  <si>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</si>
  <si>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</si>
  <si>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 xml:space="preserve">Min: </t>
    </r>
    <r>
      <rPr>
        <sz val="11"/>
        <color theme="1"/>
        <rFont val="Aptos Narrow"/>
        <family val="2"/>
        <scheme val="minor"/>
      </rPr>
      <t>Mixed signs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</si>
  <si>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Tie values</t>
    </r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</si>
  <si>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Single element array (Recursion base case $N=1$)</t>
    </r>
  </si>
  <si>
    <t>range={""}</t>
  </si>
  <si>
    <t>BigInt.Max</t>
  </si>
  <si>
    <t>range={10,20,5}</t>
  </si>
  <si>
    <t>range={007,8,09}</t>
  </si>
  <si>
    <t>range={10,abc}</t>
  </si>
  <si>
    <t>20</t>
  </si>
  <si>
    <t>9</t>
  </si>
  <si>
    <t>range={-0}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</si>
  <si>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Delegates to TreeCompare successfully</t>
    </r>
  </si>
  <si>
    <r>
      <rPr>
        <b/>
        <sz val="11"/>
        <color theme="1"/>
        <rFont val="Aptos Narrow"/>
        <family val="2"/>
        <scheme val="minor"/>
      </rPr>
      <t xml:space="preserve">Boundary: </t>
    </r>
    <r>
      <rPr>
        <sz val="11"/>
        <color theme="1"/>
        <rFont val="Aptos Narrow"/>
        <family val="2"/>
        <scheme val="minor"/>
      </rPr>
      <t>Normalizes leading zeros before comparison</t>
    </r>
  </si>
  <si>
    <r>
      <rPr>
        <b/>
        <sz val="11"/>
        <color theme="1"/>
        <rFont val="Aptos Narrow"/>
        <family val="2"/>
        <scheme val="minor"/>
      </rPr>
      <t>Error:</t>
    </r>
    <r>
      <rPr>
        <sz val="11"/>
        <color theme="1"/>
        <rFont val="Aptos Narrow"/>
        <family val="2"/>
        <scheme val="minor"/>
      </rPr>
      <t xml:space="preserve"> Invalid character triggers Norm fail-fast</t>
    </r>
  </si>
  <si>
    <r>
      <rPr>
        <b/>
        <sz val="11"/>
        <color theme="1"/>
        <rFont val="Aptos Narrow"/>
        <family val="2"/>
        <scheme val="minor"/>
      </rPr>
      <t xml:space="preserve">Edge: </t>
    </r>
    <r>
      <rPr>
        <sz val="11"/>
        <color theme="1"/>
        <rFont val="Aptos Narrow"/>
        <family val="2"/>
        <scheme val="minor"/>
      </rPr>
      <t>negative zero coerced to zero</t>
    </r>
  </si>
  <si>
    <t>BigInt.Min</t>
  </si>
  <si>
    <t>7</t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</si>
  <si>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Empty array fallback (intercepted before engine)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</si>
  <si>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Leading spaces are removed.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</si>
  <si>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Trailing spaces are removed.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</si>
  <si>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Formatting characters (commas) are removed.</t>
    </r>
  </si>
  <si>
    <r>
      <rPr>
        <b/>
        <sz val="11"/>
        <color theme="1"/>
        <rFont val="Aptos Narrow"/>
        <family val="2"/>
        <scheme val="minor"/>
      </rPr>
      <t>Type Coercion:</t>
    </r>
    <r>
      <rPr>
        <sz val="11"/>
        <color theme="1"/>
        <rFont val="Aptos Narrow"/>
        <family val="2"/>
        <scheme val="minor"/>
      </rPr>
      <t xml:space="preserve"> TRUE resolves to 1.</t>
    </r>
  </si>
  <si>
    <r>
      <rPr>
        <b/>
        <sz val="11"/>
        <color theme="1"/>
        <rFont val="Aptos Narrow"/>
        <family val="2"/>
        <scheme val="minor"/>
      </rPr>
      <t>Type Coercion:</t>
    </r>
    <r>
      <rPr>
        <sz val="11"/>
        <color theme="1"/>
        <rFont val="Aptos Narrow"/>
        <family val="2"/>
        <scheme val="minor"/>
      </rPr>
      <t xml:space="preserve"> FALSE resolves to 0.</t>
    </r>
  </si>
  <si>
    <r>
      <rPr>
        <b/>
        <sz val="11"/>
        <color theme="1"/>
        <rFont val="Aptos Narrow"/>
        <family val="2"/>
        <scheme val="minor"/>
      </rPr>
      <t>Error Bubbling:</t>
    </r>
    <r>
      <rPr>
        <sz val="11"/>
        <color theme="1"/>
        <rFont val="Aptos Narrow"/>
        <family val="2"/>
        <scheme val="minor"/>
      </rPr>
      <t xml:space="preserve"> Native errors pass through immediately without coercion.</t>
    </r>
  </si>
  <si>
    <r>
      <rPr>
        <b/>
        <sz val="11"/>
        <color theme="1"/>
        <rFont val="Aptos Narrow"/>
        <family val="2"/>
        <scheme val="minor"/>
      </rPr>
      <t>Error Bubbling:</t>
    </r>
    <r>
      <rPr>
        <sz val="11"/>
        <color theme="1"/>
        <rFont val="Aptos Narrow"/>
        <family val="2"/>
        <scheme val="minor"/>
      </rPr>
      <t xml:space="preserve"> Native NA errors pass through immediately.</t>
    </r>
  </si>
  <si>
    <t>123456789012345</t>
  </si>
  <si>
    <r>
      <rPr>
        <b/>
        <sz val="11"/>
        <color theme="1"/>
        <rFont val="Aptos Narrow"/>
        <family val="2"/>
        <scheme val="minor"/>
      </rPr>
      <t>Limit Trap:</t>
    </r>
    <r>
      <rPr>
        <sz val="11"/>
        <color theme="1"/>
        <rFont val="Aptos Narrow"/>
        <family val="2"/>
        <scheme val="minor"/>
      </rPr>
      <t xml:space="preserve"> 15-digit raw numbers are safely coerced to text.</t>
    </r>
  </si>
  <si>
    <r>
      <rPr>
        <b/>
        <sz val="11"/>
        <color theme="1"/>
        <rFont val="Aptos Narrow"/>
        <family val="2"/>
        <scheme val="minor"/>
      </rPr>
      <t>Limit Trap:</t>
    </r>
    <r>
      <rPr>
        <sz val="11"/>
        <color theme="1"/>
        <rFont val="Aptos Narrow"/>
        <family val="2"/>
        <scheme val="minor"/>
      </rPr>
      <t xml:space="preserve"> 16-digit raw numbers trigger an immediate overflow warning.</t>
    </r>
  </si>
  <si>
    <r>
      <rPr>
        <b/>
        <sz val="11"/>
        <color theme="1"/>
        <rFont val="Aptos Narrow"/>
        <family val="2"/>
        <scheme val="minor"/>
      </rPr>
      <t>Limit Trap:</t>
    </r>
    <r>
      <rPr>
        <sz val="11"/>
        <color theme="1"/>
        <rFont val="Aptos Narrow"/>
        <family val="2"/>
        <scheme val="minor"/>
      </rPr>
      <t xml:space="preserve"> Negative 16-digit raw numbers trigger an overflow warning.</t>
    </r>
  </si>
  <si>
    <t>1_234_567</t>
  </si>
  <si>
    <t>(123)</t>
  </si>
  <si>
    <t>(1,234)</t>
  </si>
  <si>
    <t>(0)</t>
  </si>
  <si>
    <t>-1234</t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</si>
  <si>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Accounting zero normalizes strictly to positive zero.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</si>
  <si>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Accounting formatting and commas are stripped simultaneously.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</si>
  <si>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Accounting formatting is mapped to a negative integer.</t>
    </r>
  </si>
  <si>
    <r>
      <rPr>
        <b/>
        <sz val="11"/>
        <color theme="1"/>
        <rFont val="Aptos Narrow"/>
        <family val="2"/>
        <scheme val="minor"/>
      </rPr>
      <t>Sanitize:</t>
    </r>
    <r>
      <rPr>
        <sz val="11"/>
        <color theme="1"/>
        <rFont val="Aptos Narrow"/>
        <family val="2"/>
        <scheme val="minor"/>
      </rPr>
      <t xml:space="preserve"> Underscores are removed safely.</t>
    </r>
  </si>
  <si>
    <t>123.0</t>
  </si>
  <si>
    <t>-123.000</t>
  </si>
  <si>
    <t>(123.0)</t>
  </si>
  <si>
    <t>123.001</t>
  </si>
  <si>
    <r>
      <rPr>
        <b/>
        <sz val="11"/>
        <color theme="1"/>
        <rFont val="Aptos Narrow"/>
        <family val="2"/>
        <scheme val="minor"/>
      </rPr>
      <t>Decimals:</t>
    </r>
    <r>
      <rPr>
        <sz val="11"/>
        <color theme="1"/>
        <rFont val="Aptos Narrow"/>
        <family val="2"/>
        <scheme val="minor"/>
      </rPr>
      <t xml:space="preserve"> Harmless trailing zeros after a decimal are truncated.</t>
    </r>
  </si>
  <si>
    <r>
      <rPr>
        <b/>
        <sz val="11"/>
        <color theme="1"/>
        <rFont val="Aptos Narrow"/>
        <family val="2"/>
        <scheme val="minor"/>
      </rPr>
      <t>Decimals:</t>
    </r>
    <r>
      <rPr>
        <sz val="11"/>
        <color theme="1"/>
        <rFont val="Aptos Narrow"/>
        <family val="2"/>
        <scheme val="minor"/>
      </rPr>
      <t xml:space="preserve"> Negative strings with zero-tails truncate cleanly.</t>
    </r>
  </si>
  <si>
    <r>
      <rPr>
        <b/>
        <sz val="11"/>
        <color theme="1"/>
        <rFont val="Aptos Narrow"/>
        <family val="2"/>
        <scheme val="minor"/>
      </rPr>
      <t xml:space="preserve">Decimals: </t>
    </r>
    <r>
      <rPr>
        <sz val="11"/>
        <color theme="1"/>
        <rFont val="Aptos Narrow"/>
        <family val="2"/>
        <scheme val="minor"/>
      </rPr>
      <t>Mixed accounting format with zero-tails resolve cleanly.</t>
    </r>
  </si>
  <si>
    <r>
      <rPr>
        <b/>
        <sz val="11"/>
        <color theme="1"/>
        <rFont val="Aptos Narrow"/>
        <family val="2"/>
        <scheme val="minor"/>
      </rPr>
      <t xml:space="preserve">Fail-Fast: </t>
    </r>
    <r>
      <rPr>
        <sz val="11"/>
        <color theme="1"/>
        <rFont val="Aptos Narrow"/>
        <family val="2"/>
        <scheme val="minor"/>
      </rPr>
      <t>Decimals with non-zero fractional tails are rejected.</t>
    </r>
  </si>
  <si>
    <t>1.25E5</t>
  </si>
  <si>
    <t>-3e4</t>
  </si>
  <si>
    <t>1.23456E+20</t>
  </si>
  <si>
    <t>1.234E+2</t>
  </si>
  <si>
    <t>5E-3</t>
  </si>
  <si>
    <r>
      <rPr>
        <b/>
        <sz val="11"/>
        <color theme="1"/>
        <rFont val="Aptos Narrow"/>
        <family val="2"/>
        <scheme val="minor"/>
      </rPr>
      <t xml:space="preserve">Sci-Not: </t>
    </r>
    <r>
      <rPr>
        <sz val="11"/>
        <color theme="1"/>
        <rFont val="Aptos Narrow"/>
        <family val="2"/>
        <scheme val="minor"/>
      </rPr>
      <t>Positive exponents shift the decimal and expand zeros correctly.</t>
    </r>
  </si>
  <si>
    <r>
      <rPr>
        <b/>
        <sz val="11"/>
        <color theme="1"/>
        <rFont val="Aptos Narrow"/>
        <family val="2"/>
        <scheme val="minor"/>
      </rPr>
      <t>Sci-Not:</t>
    </r>
    <r>
      <rPr>
        <sz val="11"/>
        <color theme="1"/>
        <rFont val="Aptos Narrow"/>
        <family val="2"/>
        <scheme val="minor"/>
      </rPr>
      <t xml:space="preserve"> Negative bases expand correctly.</t>
    </r>
  </si>
  <si>
    <r>
      <rPr>
        <b/>
        <sz val="11"/>
        <color theme="1"/>
        <rFont val="Aptos Narrow"/>
        <family val="2"/>
        <scheme val="minor"/>
      </rPr>
      <t xml:space="preserve">Sci-Not: </t>
    </r>
    <r>
      <rPr>
        <sz val="11"/>
        <color theme="1"/>
        <rFont val="Aptos Narrow"/>
        <family val="2"/>
        <scheme val="minor"/>
      </rPr>
      <t>Safely expands strings well past the 15-digit IEEE-754 limit.</t>
    </r>
  </si>
  <si>
    <r>
      <rPr>
        <b/>
        <sz val="11"/>
        <color theme="1"/>
        <rFont val="Aptos Narrow"/>
        <family val="2"/>
        <scheme val="minor"/>
      </rPr>
      <t>Sci-Not:</t>
    </r>
    <r>
      <rPr>
        <sz val="11"/>
        <color theme="1"/>
        <rFont val="Aptos Narrow"/>
        <family val="2"/>
        <scheme val="minor"/>
      </rPr>
      <t xml:space="preserve"> Decimal shifts that leave a fractional tail (123.4) are rejected.</t>
    </r>
  </si>
  <si>
    <r>
      <rPr>
        <b/>
        <sz val="11"/>
        <color theme="1"/>
        <rFont val="Aptos Narrow"/>
        <family val="2"/>
        <scheme val="minor"/>
      </rPr>
      <t>Sci-Not:</t>
    </r>
    <r>
      <rPr>
        <sz val="11"/>
        <color theme="1"/>
        <rFont val="Aptos Narrow"/>
        <family val="2"/>
        <scheme val="minor"/>
      </rPr>
      <t xml:space="preserve"> Negative exponents (fractions) are strictly rejected.</t>
    </r>
  </si>
  <si>
    <t>123456000000000000000</t>
  </si>
  <si>
    <t>125000</t>
  </si>
  <si>
    <t>-30000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</si>
</sst>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78" formatCode="0.00000000000000E+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  <xf numFmtId="0" fontId="0" fillId="0" borderId="0" xfId="0" quotePrefix="1" applyNumberFormat="1"/>
    <xf numFmtId="0" fontId="0" fillId="0" borderId="0" xfId="0" applyNumberFormat="1"/>
    <xf numFmtId="0" fontId="3" fillId="0" borderId="0" xfId="0" applyFont="1"/>
    <xf numFmtId="178" fontId="0" fillId="0" borderId="0" xfId="0" quotePrefix="1" applyNumberFormat="1"/>
  </cellXfs>
  <cellStyles count="2">
    <cellStyle name="Input" xfId="1" builtinId="20"/>
    <cellStyle name="Normal" xfId="0" builtinId="0"/>
  </cellStyles>
  <dxfs count="3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𝐿𝑜𝑔𝑂𝑑𝑑𝑠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r>
                      <a:rPr>
                        <a:latin typeface="Cambria Math" panose="02040503050406030204" pitchFamily="18" charset="0"/>
                      </a:rP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=−0.005791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>
                            <a:latin typeface="Cambria Math" panose="02040503050406030204" pitchFamily="18" charset="0"/>
                          </a:rPr>
                          <m:t>0.005791</m:t>
                        </m:r>
                        <m:d>
                          <m:d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𝑙𝑒𝑛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_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d>
                        <m:r>
                          <a:rPr>
                            <a:latin typeface="Cambria Math" panose="02040503050406030204" pitchFamily="18" charset="0"/>
                          </a:rPr>
                          <m:t>−11.917288</m:t>
                        </m:r>
                      </m:num>
                      <m:den>
                        <m:r>
                          <a:rPr>
                            <a:latin typeface="Cambria Math" panose="02040503050406030204" pitchFamily="18" charset="0"/>
                          </a:rP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=0.107821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46" totalsRowCount="1">
  <tableColumns count="5">
    <tableColumn id="1" xr3:uid="{2D415719-D29C-4B5B-8EEC-D6B547CA5D0E}" name="input" dataDxfId="328"/>
    <tableColumn id="3" xr3:uid="{0ACC712F-EB7B-43DA-9965-8A4957A95DA2}" name="expected"/>
    <tableColumn id="2" xr3:uid="{25F1E681-6FC0-4609-BF1F-1FF79BEB3CD8}" name="output" dataDxfId="327">
      <calculatedColumnFormula array="1">BigInt.Norm(Norm_Tests[[#This Row],[input]])</calculatedColumnFormula>
    </tableColumn>
    <tableColumn id="4" xr3:uid="{20432306-08A1-43B4-9B37-03610B79D73B}" name="passing" totalsRowFunction="custom" dataDxfId="61">
      <calculatedColumnFormula array="1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49:E57" totalsRowCount="1" dataDxfId="326">
  <tableColumns count="5">
    <tableColumn id="2" xr3:uid="{CD46518C-03B6-4B43-A7B8-7360525A290D}" name="input" dataDxfId="325"/>
    <tableColumn id="3" xr3:uid="{F3B44865-B013-44C5-A9D4-1A13BFE5AA81}" name="expected" dataDxfId="324"/>
    <tableColumn id="4" xr3:uid="{F40E0393-EF6C-4B2D-9F49-5CBB088EB267}" name="output" dataDxfId="323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322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321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60:E6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320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319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318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83:E91" totalsRowCount="1" tableBorderDxfId="317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316">
      <calculatedColumnFormula array="1">xlInt.IsZero(IsZero_Tests[[#This Row],[input]])</calculatedColumnFormula>
    </tableColumn>
    <tableColumn id="4" xr3:uid="{BCB92B9B-DD7D-407D-BA1B-01844C06231A}" name="passing" totalsRowFunction="custom" dataDxfId="315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94:E102" totalsRowCount="1" tableBorderDxfId="314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313">
      <calculatedColumnFormula array="1">xlInt.IsNeg(IsNeg_Tests[[#This Row],[input]])</calculatedColumnFormula>
    </tableColumn>
    <tableColumn id="4" xr3:uid="{186FF00B-FED3-490C-BB63-2A0FC55A43D4}" name="passing" totalsRowFunction="custom" dataDxfId="312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105:E114" totalsRowCount="1" tableBorderDxfId="311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310">
      <calculatedColumnFormula array="1">BigInt.Abs(Abs_Tests[[#This Row],[input]])</calculatedColumnFormula>
    </tableColumn>
    <tableColumn id="4" xr3:uid="{6A0B92CA-92B2-4515-86E8-D91A4279D44E}" name="passing" totalsRowFunction="custom" dataDxfId="309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117:E124" totalsRowCount="1" dataDxfId="308" tableBorderDxfId="307">
  <tableColumns count="5">
    <tableColumn id="2" xr3:uid="{6ED51130-CCEE-49F5-AE6A-C115477DEEC1}" name="input" dataDxfId="306"/>
    <tableColumn id="3" xr3:uid="{33B3A3D6-83B3-431F-A0B0-9371BBC16D08}" name="expected" dataDxfId="305"/>
    <tableColumn id="4" xr3:uid="{C0A2BAFD-DD64-4B6D-8350-F0AF699F41AB}" name="output" dataDxfId="304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303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30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27:E134" totalsRowCount="1" dataDxfId="301">
  <tableColumns count="5">
    <tableColumn id="2" xr3:uid="{58CF3EAC-5FAD-4E1D-8349-AFD0026A5A6F}" name="input" dataDxfId="300"/>
    <tableColumn id="3" xr3:uid="{8D4EBB1D-1F70-4D9A-B9FB-C7B03997C3F4}" name="expected" dataDxfId="299"/>
    <tableColumn id="4" xr3:uid="{54C37EF8-27DA-477C-BC79-632DD5E54F03}" name="output" dataDxfId="298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97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96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37:E144" totalsRowCount="1" dataDxfId="295" tableBorderDxfId="294">
  <tableColumns count="5">
    <tableColumn id="2" xr3:uid="{6C5FB7CE-3B1F-447E-9ED3-14E839061137}" name="input" dataDxfId="293"/>
    <tableColumn id="3" xr3:uid="{56E7CDEA-877C-47CA-B875-1A1313998480}" name="expected" dataDxfId="292"/>
    <tableColumn id="4" xr3:uid="{0AB7FE18-4035-4604-909F-956B1054DE95}" name="output" dataDxfId="291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90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89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47:E155" totalsRowCount="1" dataDxfId="288">
  <tableColumns count="5">
    <tableColumn id="1" xr3:uid="{3554FEAC-3E95-4439-BF1F-B262B64D139D}" name="input" dataDxfId="287"/>
    <tableColumn id="2" xr3:uid="{0EA61E63-F894-4F39-983A-67C6CDEA4B1D}" name="expected" dataDxfId="286"/>
    <tableColumn id="3" xr3:uid="{B6F49B44-504D-4599-9F1E-49B98046B44D}" name="output" dataDxfId="285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84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83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69:E80" totalsRowCount="1" tableBorderDxfId="282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81">
      <calculatedColumnFormula array="1">xlInt.Sign(Internal_Sign_Tests[[#This Row],[input]])</calculatedColumnFormula>
    </tableColumn>
    <tableColumn id="4" xr3:uid="{0236DB85-60E5-4DC6-9655-C6D58A63C8D4}" name="passing" totalsRowFunction="custom" dataDxfId="280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79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58:E166" totalsRowCount="1" dataDxfId="278">
  <tableColumns count="5">
    <tableColumn id="1" xr3:uid="{5B979D84-AD0F-45AF-AB26-6C75CA981E58}" name="input" dataDxfId="277"/>
    <tableColumn id="2" xr3:uid="{D8895FB5-11F4-4379-9B45-0D72ADA71E57}" name="expected" dataDxfId="276"/>
    <tableColumn id="3" xr3:uid="{A4DDD8AE-0CC0-457E-A08D-2C94591CF878}" name="output" dataDxfId="275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274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273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69:E180" totalsRowCount="1" dataDxfId="272">
  <tableColumns count="5">
    <tableColumn id="1" xr3:uid="{D52F6D10-66CD-4765-927A-94A578D3C30A}" name="input" dataDxfId="271" totalsRowDxfId="270"/>
    <tableColumn id="2" xr3:uid="{DF2BEEE3-E1EF-4EA0-A6A8-77B06FB5C3EE}" name="expected" dataDxfId="269"/>
    <tableColumn id="3" xr3:uid="{4FDE8849-AFE2-471E-8131-C5B45620EBDC}" name="output" dataDxfId="268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267" totalsRowDxfId="266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265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83:E189" totalsRowCount="1" dataDxfId="264">
  <tableColumns count="5">
    <tableColumn id="1" xr3:uid="{BEDCABA1-70E6-4A6B-A326-B96D805DC792}" name="input" dataDxfId="263"/>
    <tableColumn id="2" xr3:uid="{D2C344B5-4A5B-4F69-8FCC-B73D81DE29AD}" name="expected" dataDxfId="262"/>
    <tableColumn id="3" xr3:uid="{B095BBF3-B41C-4F5B-9689-A075BCD3B3C6}" name="output" dataDxfId="261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260" totalsRowDxfId="259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258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92:E196" totalsRowCount="1" dataDxfId="257">
  <tableColumns count="5">
    <tableColumn id="1" xr3:uid="{03074968-5409-421B-94C4-D5670F4C41D8}" name="input" dataDxfId="256"/>
    <tableColumn id="2" xr3:uid="{DDFFA8C5-FCAB-4C4D-9AD1-92357F9E25A7}" name="expected" dataDxfId="255"/>
    <tableColumn id="3" xr3:uid="{799B106A-FDF6-4F6C-8D67-8B6355524DD8}" name="output" dataDxfId="254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253" totalsRowDxfId="252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251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99:E203" totalsRowCount="1" dataDxfId="250">
  <tableColumns count="5">
    <tableColumn id="1" xr3:uid="{14CAD510-CB82-4DB3-9F1C-40F2CB704D1C}" name="input" dataDxfId="249"/>
    <tableColumn id="2" xr3:uid="{5035D4AE-F48A-40D0-AF90-BDA3391536CB}" name="expected" dataDxfId="248"/>
    <tableColumn id="3" xr3:uid="{99876D23-ABB8-4C24-98A4-1BEEEEDD07C4}" name="output" dataDxfId="247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246" totalsRowDxfId="245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244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206:E211" totalsRowCount="1" dataDxfId="243">
  <tableColumns count="5">
    <tableColumn id="1" xr3:uid="{02600896-7D14-484F-821B-B4456983BB28}" name="input" dataDxfId="242"/>
    <tableColumn id="2" xr3:uid="{173735CF-904D-4F11-81E2-08E18A2E350F}" name="expected" dataDxfId="241"/>
    <tableColumn id="3" xr3:uid="{39C7D243-2D28-43C6-84E9-009686A8BE25}" name="output" dataDxfId="240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239" totalsRowDxfId="238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237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214:E22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236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235" totalsRowDxfId="234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25:E231" totalsRowCount="1" dataDxfId="233">
  <tableColumns count="5">
    <tableColumn id="1" xr3:uid="{8D4F0565-063F-4316-9C57-705162867D2A}" name="input" dataDxfId="232"/>
    <tableColumn id="2" xr3:uid="{DAD4A921-C714-4DCC-AADE-BAF6086A3636}" name="expected" dataDxfId="231"/>
    <tableColumn id="3" xr3:uid="{97E6E3DD-CA0A-4372-AC3D-9A495F7C3A53}" name="output" dataDxfId="230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229" totalsRowDxfId="228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227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34:E241" totalsRowCount="1" dataDxfId="226">
  <tableColumns count="5">
    <tableColumn id="1" xr3:uid="{3AEB129A-112F-4626-87D9-516E40338A3B}" name="input" dataDxfId="225" totalsRowDxfId="224"/>
    <tableColumn id="2" xr3:uid="{17E1D158-0134-4800-97A0-9A914A48AA8F}" name="expected" dataDxfId="223" totalsRowDxfId="222"/>
    <tableColumn id="3" xr3:uid="{B25D54E8-D438-48E6-9956-B82746478514}" name="output" dataDxfId="221" totalsRowDxfId="220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219" totalsRowDxfId="218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217" totalsRowDxfId="216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44:E253" totalsRowCount="1" dataDxfId="215">
  <tableColumns count="5">
    <tableColumn id="1" xr3:uid="{C9306945-CA62-4719-882E-A0FFCFC80239}" name="input" dataDxfId="214"/>
    <tableColumn id="2" xr3:uid="{FF30C91E-2B8D-47FA-B34B-6CA5257E3EB7}" name="expected" dataDxfId="213"/>
    <tableColumn id="3" xr3:uid="{3B324DA4-4AAE-408C-B627-929F7D5C7CBF}" name="output" dataDxfId="212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211" totalsRowDxfId="210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209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56:E267" totalsRowCount="1" dataDxfId="208">
  <tableColumns count="5">
    <tableColumn id="1" xr3:uid="{0A49EAE4-5B09-4D2D-A863-D634A4825565}" name="input" dataDxfId="207" totalsRowDxfId="206"/>
    <tableColumn id="2" xr3:uid="{4BF042F3-E337-4B63-A1E8-414D47019404}" name="expected" dataDxfId="205" totalsRowDxfId="204"/>
    <tableColumn id="3" xr3:uid="{118ABB7A-7163-40CB-974E-69BFF6BE2BE0}" name="output" dataDxfId="203" totalsRowDxfId="202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201" totalsRowDxfId="200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99" totalsRowDxfId="198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70:E281" totalsRowCount="1" dataDxfId="197">
  <tableColumns count="5">
    <tableColumn id="1" xr3:uid="{F1BCBD73-ACF5-4609-87F5-A9FAB549955E}" name="input" dataDxfId="196" totalsRowDxfId="195"/>
    <tableColumn id="2" xr3:uid="{E9604163-FD58-4190-8D72-28AA7831E8C8}" name="expected" dataDxfId="194" totalsRowDxfId="193"/>
    <tableColumn id="3" xr3:uid="{9D21CE79-D00B-4182-97B3-60EF6DC8B18F}" name="output" dataDxfId="192" totalsRowDxfId="191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90" totalsRowDxfId="189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88" totalsRowDxfId="187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84:E300" totalsRowCount="1" dataDxfId="186">
  <tableColumns count="5">
    <tableColumn id="1" xr3:uid="{E51BC97B-AA0D-4705-AF36-89CB4A3501FF}" name="input" dataDxfId="185" totalsRowDxfId="184"/>
    <tableColumn id="2" xr3:uid="{6D6483DD-139D-4DFE-BFEA-8BAA3E5C6FCF}" name="expected" dataDxfId="183" totalsRowDxfId="182"/>
    <tableColumn id="3" xr3:uid="{17DE90BB-4525-4C2D-9577-C4372DCD74B3}" name="output" dataDxfId="181" totalsRowDxfId="180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79" totalsRowDxfId="178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77" totalsRowDxfId="176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303:E309" totalsRowCount="1" dataDxfId="175">
  <tableColumns count="5">
    <tableColumn id="1" xr3:uid="{37EA378F-E179-45E1-BF1A-FBA82C305DBA}" name="input" dataDxfId="174"/>
    <tableColumn id="2" xr3:uid="{11DFB020-1D5E-4E26-A86F-6B73428F3709}" name="expected" dataDxfId="173"/>
    <tableColumn id="3" xr3:uid="{943FD3EB-6145-4BEE-9408-F68BE0795A47}" name="output" dataDxfId="172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171" totalsRowDxfId="170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169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312:E321" totalsRowCount="1" tableBorderDxfId="168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167">
      <calculatedColumnFormula array="1">BigInt.IsEven(IsEven_Tests[[#This Row],[input]])</calculatedColumnFormula>
    </tableColumn>
    <tableColumn id="4" xr3:uid="{4CD10349-78F4-4A08-8AD3-6AFDD4218B3F}" name="passing" totalsRowFunction="custom" dataDxfId="166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165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24:E333" totalsRowCount="1" tableBorderDxfId="164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163">
      <calculatedColumnFormula array="1">BigInt.IsOdd(IsOdd_Tests[[#This Row],[input]])</calculatedColumnFormula>
    </tableColumn>
    <tableColumn id="4" xr3:uid="{15820A65-99F4-420C-A89B-1F6FB8202BCC}" name="passing" totalsRowFunction="custom" dataDxfId="162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47:E361" totalsRowCount="1" dataDxfId="161">
  <tableColumns count="5">
    <tableColumn id="1" xr3:uid="{428DC074-F3C2-4541-81E6-FDDAE2482D27}" name="input" dataDxfId="160"/>
    <tableColumn id="2" xr3:uid="{B5FD2A40-BCC5-4580-B8CD-768791024AC5}" name="expected" dataDxfId="159"/>
    <tableColumn id="3" xr3:uid="{F4E39208-EEA5-4CF3-B04A-4707F3E1FB8E}" name="output" dataDxfId="158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157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156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36:E344" totalsRowCount="1" dataDxfId="155">
  <tableColumns count="5">
    <tableColumn id="1" xr3:uid="{20145995-7ED4-4B73-887D-9D74DA0828CF}" name="input" dataDxfId="154"/>
    <tableColumn id="2" xr3:uid="{82FBC2F1-B0A2-4D85-8D2F-0E9C3548EF52}" name="expected" dataDxfId="153"/>
    <tableColumn id="3" xr3:uid="{30FC05F3-7A85-4F3C-B4CB-146B4FEBD37A}" name="output" dataDxfId="152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151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150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64:E368" totalsRowCount="1" dataDxfId="149">
  <tableColumns count="5">
    <tableColumn id="1" xr3:uid="{7D0B28FD-9EB7-4A3D-892B-9C8FB4B3B2F5}" name="input" dataDxfId="148"/>
    <tableColumn id="2" xr3:uid="{CFF29D88-DF87-4564-930E-26EAF1CB3332}" name="expected" dataDxfId="147"/>
    <tableColumn id="3" xr3:uid="{4738BA38-2D1B-4B90-8625-6A923FAABAE8}" name="output" dataDxfId="146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145" totalsRowDxfId="144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143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71:E376" totalsRowCount="1" dataDxfId="142">
  <tableColumns count="5">
    <tableColumn id="1" xr3:uid="{668CC6CC-FAA8-4201-AF7C-80B23CDDC2E9}" name="input" dataDxfId="141"/>
    <tableColumn id="2" xr3:uid="{25DCB2CE-672E-4637-9E18-5B6DB9547223}" name="expected" dataDxfId="140"/>
    <tableColumn id="3" xr3:uid="{90B5F5EA-1862-438B-A0B0-E7B33D47B422}" name="output" dataDxfId="139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138" totalsRowDxfId="137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136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79:E385" totalsRowCount="1" dataDxfId="135">
  <tableColumns count="5">
    <tableColumn id="1" xr3:uid="{1DD49B57-7E7E-4B1C-B300-6AC09AA4507D}" name="input" dataDxfId="134"/>
    <tableColumn id="2" xr3:uid="{F726FD71-2E54-4ACE-8BDB-45E8C22B8958}" name="expected" dataDxfId="133"/>
    <tableColumn id="3" xr3:uid="{51451E9D-81A3-4433-AABC-FCAE4ED0B82C}" name="output" dataDxfId="132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131" totalsRowDxfId="130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129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C0A819-84B9-4A0A-8097-03A8C95F5E27}" name="NativePrimes_Tests" displayName="NativePrimes_Tests" ref="A388:E394" totalsRowCount="1" dataDxfId="128" tableBorderDxfId="127">
  <tableColumns count="5">
    <tableColumn id="1" xr3:uid="{F29CD078-1065-436A-811B-D67567316769}" name="input" dataDxfId="126"/>
    <tableColumn id="2" xr3:uid="{6122EAC1-506A-441B-8004-4B02E143A802}" name="expected" dataDxfId="125"/>
    <tableColumn id="3" xr3:uid="{778AEC62-886A-4A2A-BD39-EB9F715A732B}" name="output" dataDxfId="124">
      <calculatedColumnFormula>_xlfn.ARRAYTOTEXT(core_BigInt.NativePrimes(NativePrimes_Tests[[#This Row],[input]]), 1)</calculatedColumnFormula>
    </tableColumn>
    <tableColumn id="4" xr3:uid="{F3546CB4-2246-45FB-B499-CB4B13BA76E1}" name="passing" totalsRowFunction="custom" dataDxfId="123">
      <calculatedColumnFormula>IF(ISERROR(NativePrimes_Tests[[#This Row],[expected]]),
    ERROR.TYPE(NativePrimes_Tests[[#This Row],[expected]]) = ERROR.TYPE(NativePrimes_Tests[[#This Row],[output]]),
    NativePrimes_Tests[[#This Row],[expected]] = NativePrimes_Tests[[#This Row],[output]]
)</calculatedColumnFormula>
      <totalsRowFormula>AND(NativePrimes_Tests[passing])</totalsRowFormula>
    </tableColumn>
    <tableColumn id="5" xr3:uid="{8190D20C-0392-4F85-929A-69F9BDF57A0A}" name="test" dataDxfId="122"/>
  </tableColumns>
  <tableStyleInfo name="TableStyleMedium1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9BD0AFE-381A-4E2F-A35C-4D1CCCA7584E}" name="TextTreeProd_Tests37" displayName="TextTreeProd_Tests37" ref="A406:E411" totalsRowCount="1" dataDxfId="121">
  <tableColumns count="5">
    <tableColumn id="1" xr3:uid="{998EF311-8CF0-4498-BF3E-C7591D617740}" name="input" dataDxfId="120"/>
    <tableColumn id="2" xr3:uid="{030D33E6-C011-4057-AFBE-F1FEC05B0E3D}" name="expected" dataDxfId="119"/>
    <tableColumn id="3" xr3:uid="{4A32034C-1A35-45CF-A8F5-5BB1FB3300A5}" name="output" dataDxfId="118">
      <calculatedColumnFormula array="1">_xlfn.LET(
    _xlpm.big_ints, _xlfn.REGEXEXTRACT(TextTreeProd_Tests37[[#This Row],[input]], "{\K[\w,; .-]*"),
    _xlpm.big_int_arr, _xlfn.TEXTSPLIT(_xlpm.big_ints,",",";"),
    core_BigInt.TextTreeProd(_xlpm.big_int_arr)
)</calculatedColumnFormula>
    </tableColumn>
    <tableColumn id="4" xr3:uid="{F4493AC7-8D4A-4E9D-A9A4-52B87367C964}" name="passing" totalsRowFunction="custom" dataDxfId="117" totalsRowDxfId="116">
      <calculatedColumnFormula>IF(ISERROR(TextTreeProd_Tests37[[#This Row],[expected]]),
    ERROR.TYPE(TextTreeProd_Tests37[[#This Row],[expected]]) = ERROR.TYPE(TextTreeProd_Tests37[[#This Row],[output]]),
    TextTreeProd_Tests37[[#This Row],[expected]] = TextTreeProd_Tests37[[#This Row],[output]]
)</calculatedColumnFormula>
      <totalsRowFormula>AND(TextTreeProd_Tests37[passing])</totalsRowFormula>
    </tableColumn>
    <tableColumn id="5" xr3:uid="{9E2E183E-0AFC-4266-8D1C-760BDBA95E9A}" name="test" dataDxfId="115"/>
  </tableColumns>
  <tableStyleInfo name="TableStyleMedium1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BA5BDEF-A87F-4855-AD37-C3A378790A0D}" name="UTextMul_Tests" displayName="UTextMul_Tests" ref="A397:E403" totalsRowCount="1" dataDxfId="114">
  <tableColumns count="5">
    <tableColumn id="1" xr3:uid="{3F5F3FFD-5DC8-4A88-908C-7CEE90688FD2}" name="input" dataDxfId="113" totalsRowDxfId="112"/>
    <tableColumn id="2" xr3:uid="{6AD81AC4-371F-4E12-BB01-43913712ADEC}" name="expected" dataDxfId="111" totalsRowDxfId="110"/>
    <tableColumn id="3" xr3:uid="{554D388F-417A-46F4-9FA2-AACDEAA24237}" name="output" dataDxfId="109" totalsRowDxfId="108">
      <calculatedColumnFormula array="1">_xlfn.LET(
    _xlpm.ab, _xlfn.REGEXEXTRACT(UTextMul_Tests[[#This Row],[input]], "=\s*\{?\K[\w,; .-]*", 1),
    _xlpm.a, INDEX(_xlpm.ab,1,1),
    _xlpm.b, INDEX(_xlpm.ab,1,2),
    core_BigInt.UTextMul(_xlpm.a, _xlpm.b)
)</calculatedColumnFormula>
    </tableColumn>
    <tableColumn id="4" xr3:uid="{98F15F6B-80F5-487B-9965-2D3178956C0C}" name="passing" totalsRowFunction="custom" dataDxfId="107" totalsRowDxfId="106">
      <calculatedColumnFormula>IF(ISERROR(UTextMul_Tests[[#This Row],[expected]]),
    ERROR.TYPE(UTextMul_Tests[[#This Row],[expected]]) = ERROR.TYPE(UTextMul_Tests[[#This Row],[output]]),
    UTextMul_Tests[[#This Row],[expected]] = UTextMul_Tests[[#This Row],[output]]
)</calculatedColumnFormula>
      <totalsRowFormula>AND(UTextMul_Tests[passing])</totalsRowFormula>
    </tableColumn>
    <tableColumn id="5" xr3:uid="{2218ADB1-42B3-401A-BDE3-B0DC0D6D6959}" name="test" dataDxfId="105" totalsRowDxfId="104"/>
  </tableColumns>
  <tableStyleInfo name="TableStyleMedium1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18280EB-8AA6-4449-955D-681E77E7D1F0}" name="Fact_Tests" displayName="Fact_Tests" ref="A414:E422" totalsRowCount="1" dataDxfId="103" tableBorderDxfId="102">
  <tableColumns count="5">
    <tableColumn id="1" xr3:uid="{D95EE39E-5251-4170-8888-9530E87C134B}" name="input" dataDxfId="101"/>
    <tableColumn id="2" xr3:uid="{15AD0C64-A61C-4834-B444-C19248449496}" name="expected" dataDxfId="100"/>
    <tableColumn id="3" xr3:uid="{B1B2AF0C-A9CA-494D-9393-F9EB601C03AE}" name="output" dataDxfId="99">
      <calculatedColumnFormula array="1">BigInt.Fact(Fact_Tests[[#This Row],[input]])</calculatedColumnFormula>
    </tableColumn>
    <tableColumn id="4" xr3:uid="{67D2CAD7-A3A0-464E-A151-2D279B301872}" name="passing" totalsRowFunction="custom" dataDxfId="98">
      <calculatedColumnFormula>IF(ISERROR(Fact_Tests[[#This Row],[expected]]),
    ERROR.TYPE(Fact_Tests[[#This Row],[expected]]) = ERROR.TYPE(Fact_Tests[[#This Row],[output]]),
    Fact_Tests[[#This Row],[expected]] = Fact_Tests[[#This Row],[output]]
)</calculatedColumnFormula>
      <totalsRowFormula>AND(Fact_Tests[passing])</totalsRowFormula>
    </tableColumn>
    <tableColumn id="5" xr3:uid="{AD0FAFD6-A476-479B-A804-9F518E2EB8F4}" name="test" dataDxfId="97"/>
  </tableColumns>
  <tableStyleInfo name="TableStyleMedium1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A442966-F97C-4CA5-BF93-28001E9F3115}" name="NativeSwingExponents_Tests" displayName="NativeSwingExponents_Tests" ref="A425:E428" totalsRowCount="1" dataDxfId="96">
  <tableColumns count="5">
    <tableColumn id="1" xr3:uid="{A9F64071-671A-4BD5-BB0B-5605FA9B2FB2}" name="input" dataDxfId="95"/>
    <tableColumn id="2" xr3:uid="{02211327-69A6-4349-A560-3AF62381C788}" name="expected" dataDxfId="94"/>
    <tableColumn id="3" xr3:uid="{89446F11-EFC2-42C7-B521-B662FB138191}" name="output" dataDxfId="93">
      <calculatedColumnFormula array="1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calculatedColumnFormula>
    </tableColumn>
    <tableColumn id="4" xr3:uid="{C52D135F-5CEB-4D1A-8E45-EA8B58B2B163}" name="passing" totalsRowFunction="custom" dataDxfId="92" totalsRowDxfId="91">
      <calculatedColumnFormula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calculatedColumnFormula>
      <totalsRowFormula>AND(NativeSwingExponents_Tests[passing])</totalsRowFormula>
    </tableColumn>
    <tableColumn id="5" xr3:uid="{B46E3978-1116-4B1A-913F-71B5FB4747AC}" name="test" dataDxfId="90"/>
  </tableColumns>
  <tableStyleInfo name="TableStyleMedium1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A5FEA778-9E36-4BC2-B573-658FC407B11D}" name="PrimeSwingKernel_Tests" displayName="PrimeSwingKernel_Tests" ref="A431:E434" totalsRowCount="1" dataDxfId="89">
  <tableColumns count="5">
    <tableColumn id="1" xr3:uid="{D9194B1A-7653-4C25-AD75-58E73FE195C9}" name="input" dataDxfId="88"/>
    <tableColumn id="2" xr3:uid="{AE2B8C19-C9AE-4F57-A1CB-20DBB45C5BC7}" name="expected" dataDxfId="87"/>
    <tableColumn id="3" xr3:uid="{D8958B27-2C1B-4EE7-ACB4-6D260A9AA527}" name="output" dataDxfId="86">
      <calculatedColumnFormula array="1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calculatedColumnFormula>
    </tableColumn>
    <tableColumn id="4" xr3:uid="{3AABFC76-CC2A-401A-82D6-2360A18DBD72}" name="passing" totalsRowFunction="custom" dataDxfId="85" totalsRowDxfId="84">
      <calculatedColumnFormula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calculatedColumnFormula>
      <totalsRowFormula>AND(PrimeSwingKernel_Tests[passing])</totalsRowFormula>
    </tableColumn>
    <tableColumn id="5" xr3:uid="{819A85D8-0038-49F4-92B3-29D2B3DA3DA7}" name="test" dataDxfId="83"/>
  </tableColumns>
  <tableStyleInfo name="TableStyleMedium16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B9017739-8F7A-45C0-8849-8DA270727275}" name="TreeCompare_Tests" displayName="TreeCompare_Tests" ref="A437:E445" totalsRowCount="1" dataDxfId="82">
  <tableColumns count="5">
    <tableColumn id="1" xr3:uid="{BDAA1AA4-B401-4C1E-B07A-E7D2C895F02A}" name="input" dataDxfId="81"/>
    <tableColumn id="2" xr3:uid="{EC652947-23C8-4457-88DD-80381C7FB3A2}" name="expected" dataDxfId="80"/>
    <tableColumn id="3" xr3:uid="{9CE537BC-E9A5-4F26-88D5-ABBB9201C75C}" name="output" dataDxfId="79">
      <calculatedColumnFormula array="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calculatedColumnFormula>
    </tableColumn>
    <tableColumn id="4" xr3:uid="{998A2330-0955-43FD-AA71-94CBD47AD512}" name="passing" totalsRowFunction="custom" dataDxfId="78" totalsRowDxfId="77">
      <calculatedColumnFormula>IF(ISERROR(TreeCompare_Tests[[#This Row],[expected]]),
    ERROR.TYPE(TreeCompare_Tests[[#This Row],[expected]]) = ERROR.TYPE(TreeCompare_Tests[[#This Row],[output]]),
    TreeCompare_Tests[[#This Row],[expected]] = TreeCompare_Tests[[#This Row],[output]]
)</calculatedColumnFormula>
      <totalsRowFormula>AND(TreeCompare_Tests[passing])</totalsRowFormula>
    </tableColumn>
    <tableColumn id="5" xr3:uid="{785CE4BC-B5F9-4152-BB85-92FDF88F26FE}" name="test" dataDxfId="76"/>
  </tableColumns>
  <tableStyleInfo name="TableStyleMedium16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F19CB3E-C2E9-4DDF-B4F3-1CD37989A54B}" name="Max_Tests" displayName="Max_Tests" ref="A448:E454" totalsRowCount="1" dataDxfId="75">
  <tableColumns count="5">
    <tableColumn id="1" xr3:uid="{70E3AE18-4391-4958-8A2F-0E14867BC728}" name="input" dataDxfId="74"/>
    <tableColumn id="2" xr3:uid="{8003646D-7F33-486B-B89C-73BC90D27E5F}" name="expected" dataDxfId="73"/>
    <tableColumn id="3" xr3:uid="{0DDD1364-1D88-485D-9D85-7DBBD316CE60}" name="output" dataDxfId="72">
      <calculatedColumnFormula array="1">_xlfn.LET(
    _xlpm.range_mode, _xlfn.REGEXEXTRACT(Max_Tests[[#This Row],[input]], "=\s*\{?\K[\w,; .-]*", 1),
    _xlpm.range, INDEX(_xlpm.range_mode,1,1),
    _xlpm.range_arr, IFERROR(_xlfn.TEXTSPLIT(_xlpm.range,",",";"),_xlpm.range),
    BigInt.Max(_xlpm.range_arr)
)</calculatedColumnFormula>
    </tableColumn>
    <tableColumn id="4" xr3:uid="{93AA2604-CFEC-494D-8458-265B34FBDD48}" name="passing" totalsRowFunction="custom" dataDxfId="71" totalsRowDxfId="70">
      <calculatedColumnFormula>IF(ISERROR(Max_Tests[[#This Row],[expected]]),
    ERROR.TYPE(Max_Tests[[#This Row],[expected]]) = ERROR.TYPE(Max_Tests[[#This Row],[output]]),
    Max_Tests[[#This Row],[expected]] = Max_Tests[[#This Row],[output]]
)</calculatedColumnFormula>
      <totalsRowFormula>AND(Max_Tests[passing])</totalsRowFormula>
    </tableColumn>
    <tableColumn id="5" xr3:uid="{7BB76139-B909-48EB-BBE4-1B5FAEDF08FF}" name="test" dataDxfId="69"/>
  </tableColumns>
  <tableStyleInfo name="TableStyleMedium16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C2916B-F8E5-4BCB-878F-6E93D4C2588B}" name="Min_Tests" displayName="Min_Tests" ref="A456:E462" totalsRowCount="1" dataDxfId="68">
  <tableColumns count="5">
    <tableColumn id="1" xr3:uid="{7CB0024C-89AB-4AF4-B981-D0D9DC861640}" name="input" dataDxfId="67"/>
    <tableColumn id="2" xr3:uid="{6E7270F8-57D3-4993-A767-C9138198E9D0}" name="expected" dataDxfId="66"/>
    <tableColumn id="3" xr3:uid="{B2BFCE87-E91A-4BF5-91C3-2864C634D5AD}" name="output" dataDxfId="65">
      <calculatedColumnFormula array="1">_xlfn.LET(
    _xlpm.range_mode, _xlfn.REGEXEXTRACT(Min_Tests[[#This Row],[input]], "=\s*\{?\K[\w,; .-]*", 1),
    _xlpm.range, INDEX(_xlpm.range_mode,1,1),
    _xlpm.range_arr, IFERROR(_xlfn.TEXTSPLIT(_xlpm.range,",",";"),_xlpm.range),
    BigInt.Min(_xlpm.range_arr)
)</calculatedColumnFormula>
    </tableColumn>
    <tableColumn id="4" xr3:uid="{119495E5-A70B-4977-B718-87E0A3787A9E}" name="passing" totalsRowFunction="custom" dataDxfId="64" totalsRowDxfId="63">
      <calculatedColumnFormula>IF(ISERROR(Min_Tests[[#This Row],[expected]]),
    ERROR.TYPE(Min_Tests[[#This Row],[expected]]) = ERROR.TYPE(Min_Tests[[#This Row],[output]]),
    Min_Tests[[#This Row],[expected]] = Min_Tests[[#This Row],[output]]
)</calculatedColumnFormula>
      <totalsRowFormula>AND(Min_Tests[passing])</totalsRowFormula>
    </tableColumn>
    <tableColumn id="5" xr3:uid="{D2764F64-B563-420B-8C69-F976F65330B5}" name="test" dataDxfId="62"/>
  </tableColumns>
  <tableStyleInfo name="TableStyleMedium16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14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490"/>
  <sheetViews>
    <sheetView tabSelected="1" zoomScaleNormal="100" workbookViewId="0">
      <selection activeCell="C4" sqref="C4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  <col min="13" max="13" width="3.81640625" bestFit="1" customWidth="1"/>
    <col min="14" max="14" width="11.08984375" bestFit="1" customWidth="1"/>
    <col min="15" max="15" width="8.26953125" bestFit="1" customWidth="1"/>
  </cols>
  <sheetData>
    <row r="1" spans="1:5" ht="19" thickBot="1">
      <c r="A1" s="13" t="s">
        <v>135</v>
      </c>
      <c r="B1" s="1"/>
      <c r="C1" s="1"/>
      <c r="D1" s="1"/>
      <c r="E1" s="1"/>
    </row>
    <row r="2" spans="1:5">
      <c r="A2" s="4" t="s">
        <v>136</v>
      </c>
      <c r="B2">
        <f>COUNTIF(_xlfn._TRO_TRAILING(A:A), "input")</f>
        <v>41</v>
      </c>
    </row>
    <row r="3" spans="1:5">
      <c r="A3" s="4" t="s">
        <v>137</v>
      </c>
      <c r="B3" cm="1">
        <f t="array" aca="1" ref="B3" ca="1">SUM(--ISNUMBER(SEARCH("[@expected] = [@output]", _xlfn.FORMULATEXT(_xlfn._TRO_TRAILING(D:D)))))</f>
        <v>295</v>
      </c>
    </row>
    <row r="4" spans="1:5">
      <c r="A4" s="4" t="s">
        <v>395</v>
      </c>
      <c r="B4" cm="1">
        <f t="array" aca="1" ref="B4" ca="1">SUM(ISNUMBER(SEARCH("[@expected] = [@output]", _xlfn.FORMULATEXT(_xlfn._TRO_TRAILING(D:D)))) * (_xlfn._TRO_TRAILING(D:D) = TRUE))</f>
        <v>295</v>
      </c>
    </row>
    <row r="5" spans="1:5" ht="15" thickBot="1"/>
    <row r="6" spans="1:5" ht="19" thickBot="1">
      <c r="A6" s="1" t="s">
        <v>423</v>
      </c>
      <c r="B6" s="1"/>
      <c r="C6" s="1"/>
      <c r="D6" s="1"/>
      <c r="E6" s="1"/>
    </row>
    <row r="7" spans="1:5">
      <c r="A7" t="s">
        <v>107</v>
      </c>
      <c r="B7" t="s">
        <v>32</v>
      </c>
      <c r="C7" t="s">
        <v>33</v>
      </c>
      <c r="D7" s="6" t="s">
        <v>45</v>
      </c>
      <c r="E7" t="s">
        <v>34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 cm="1">
        <f t="array" ref="D8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 cm="1">
        <f t="array" ref="D9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 cm="1">
        <f t="array" ref="D10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 cm="1">
        <f t="array" ref="D11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 cm="1">
        <f t="array" ref="D12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 cm="1">
        <f t="array" ref="D13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 cm="1">
        <f t="array" ref="D14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 cm="1">
        <f t="array" ref="D15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 cm="1">
        <f t="array" ref="D16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 cm="1">
        <f t="array" ref="D17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7" t="s">
        <v>27</v>
      </c>
    </row>
    <row r="18" spans="1:5" hidden="1" outlineLevel="1">
      <c r="A18" s="2" t="s">
        <v>8</v>
      </c>
      <c r="B18" t="s">
        <v>16</v>
      </c>
      <c r="C18" t="str" cm="1">
        <f t="array" ref="C18">BigInt.Norm(Norm_Tests[[#This Row],[input]])</f>
        <v>123</v>
      </c>
      <c r="D18" t="b" cm="1">
        <f t="array" ref="D18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8" t="s">
        <v>655</v>
      </c>
    </row>
    <row r="19" spans="1:5" hidden="1" outlineLevel="1">
      <c r="A19" s="2" t="s">
        <v>9</v>
      </c>
      <c r="B19" t="s">
        <v>16</v>
      </c>
      <c r="C19" t="str" cm="1">
        <f t="array" ref="C19">BigInt.Norm(Norm_Tests[[#This Row],[input]])</f>
        <v>123</v>
      </c>
      <c r="D19" t="b" cm="1">
        <f t="array" ref="D19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19" t="s">
        <v>656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 cm="1">
        <f t="array" ref="D20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0" t="s">
        <v>28</v>
      </c>
    </row>
    <row r="21" spans="1:5" hidden="1" outlineLevel="1">
      <c r="A21" s="3" t="s">
        <v>11</v>
      </c>
      <c r="B21" t="s">
        <v>0</v>
      </c>
      <c r="C21" t="str" cm="1">
        <f t="array" ref="C21">BigInt.Norm(Norm_Tests[[#This Row],[input]])</f>
        <v>12345</v>
      </c>
      <c r="D21" t="b" cm="1">
        <f t="array" ref="D21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1" t="s">
        <v>657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 cm="1">
        <f t="array" ref="D22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2" t="s">
        <v>29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 cm="1">
        <f t="array" ref="D23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3" t="s">
        <v>30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 cm="1">
        <f t="array" ref="D24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4" t="s">
        <v>31</v>
      </c>
    </row>
    <row r="25" spans="1:5" hidden="1" outlineLevel="1">
      <c r="A25" s="2" t="s">
        <v>120</v>
      </c>
      <c r="B25" t="e">
        <v>#VALUE!</v>
      </c>
      <c r="C25" t="e" cm="1">
        <f t="array" ref="C25">BigInt.Norm(Norm_Tests[[#This Row],[input]])</f>
        <v>#VALUE!</v>
      </c>
      <c r="D25" t="b" cm="1">
        <f t="array" ref="D25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5" t="s">
        <v>121</v>
      </c>
    </row>
    <row r="26" spans="1:5" hidden="1" outlineLevel="1">
      <c r="A26" s="18" t="b">
        <v>1</v>
      </c>
      <c r="B26" t="s">
        <v>50</v>
      </c>
      <c r="C26" t="str" cm="1">
        <f t="array" ref="C26">BigInt.Norm(Norm_Tests[[#This Row],[input]])</f>
        <v>1</v>
      </c>
      <c r="D26" s="19" t="b" cm="1">
        <f t="array" ref="D26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6" t="s">
        <v>658</v>
      </c>
    </row>
    <row r="27" spans="1:5" hidden="1" outlineLevel="1">
      <c r="A27" s="18" t="b">
        <v>0</v>
      </c>
      <c r="B27" t="s">
        <v>4</v>
      </c>
      <c r="C27" t="str" cm="1">
        <f t="array" ref="C27">BigInt.Norm(Norm_Tests[[#This Row],[input]])</f>
        <v>0</v>
      </c>
      <c r="D27" s="19" t="b" cm="1">
        <f t="array" ref="D27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7" t="s">
        <v>659</v>
      </c>
    </row>
    <row r="28" spans="1:5" hidden="1" outlineLevel="1">
      <c r="A28" t="e">
        <v>#DIV/0!</v>
      </c>
      <c r="B28" t="e">
        <v>#DIV/0!</v>
      </c>
      <c r="C28" t="e" cm="1">
        <f t="array" ref="C28">BigInt.Norm(Norm_Tests[[#This Row],[input]])</f>
        <v>#DIV/0!</v>
      </c>
      <c r="D28" s="19" t="b" cm="1">
        <f t="array" ref="D28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8" t="s">
        <v>660</v>
      </c>
    </row>
    <row r="29" spans="1:5" hidden="1" outlineLevel="1">
      <c r="A29" t="e">
        <v>#N/A</v>
      </c>
      <c r="B29" t="e">
        <v>#N/A</v>
      </c>
      <c r="C29" t="e" cm="1">
        <f t="array" ref="C29">BigInt.Norm(Norm_Tests[[#This Row],[input]])</f>
        <v>#N/A</v>
      </c>
      <c r="D29" s="19" t="b" cm="1">
        <f t="array" ref="D29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29" t="s">
        <v>661</v>
      </c>
    </row>
    <row r="30" spans="1:5" hidden="1" outlineLevel="1">
      <c r="A30" s="21">
        <v>123456789012345</v>
      </c>
      <c r="B30" s="2" t="s">
        <v>662</v>
      </c>
      <c r="C30" s="19" t="str" cm="1">
        <f t="array" ref="C30">BigInt.Norm(Norm_Tests[[#This Row],[input]])</f>
        <v>123456789012345</v>
      </c>
      <c r="D30" s="19" t="b" cm="1">
        <f t="array" ref="D30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0" t="s">
        <v>663</v>
      </c>
    </row>
    <row r="31" spans="1:5" hidden="1" outlineLevel="1">
      <c r="A31" s="21">
        <v>1234567890123450</v>
      </c>
      <c r="B31" s="20" t="e">
        <v>#NUM!</v>
      </c>
      <c r="C31" s="19" t="e" cm="1">
        <f t="array" ref="C31">BigInt.Norm(Norm_Tests[[#This Row],[input]])</f>
        <v>#NUM!</v>
      </c>
      <c r="D31" s="19" t="b" cm="1">
        <f t="array" ref="D31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1" t="s">
        <v>664</v>
      </c>
    </row>
    <row r="32" spans="1:5" hidden="1" outlineLevel="1">
      <c r="A32">
        <v>-1234567890123450</v>
      </c>
      <c r="B32" s="20" t="e">
        <v>#NUM!</v>
      </c>
      <c r="C32" s="19" t="e" cm="1">
        <f t="array" ref="C32">BigInt.Norm(Norm_Tests[[#This Row],[input]])</f>
        <v>#NUM!</v>
      </c>
      <c r="D32" s="19" t="b" cm="1">
        <f t="array" ref="D32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2" t="s">
        <v>665</v>
      </c>
    </row>
    <row r="33" spans="1:5" hidden="1" outlineLevel="1">
      <c r="A33" s="18" t="s">
        <v>666</v>
      </c>
      <c r="B33" s="2" t="s">
        <v>38</v>
      </c>
      <c r="C33" s="19" t="str" cm="1">
        <f t="array" ref="C33">BigInt.Norm(Norm_Tests[[#This Row],[input]])</f>
        <v>1234567</v>
      </c>
      <c r="D33" s="19" t="b" cm="1">
        <f t="array" ref="D33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3" t="s">
        <v>674</v>
      </c>
    </row>
    <row r="34" spans="1:5" hidden="1" outlineLevel="1">
      <c r="A34" s="18" t="s">
        <v>667</v>
      </c>
      <c r="B34" s="2" t="s">
        <v>17</v>
      </c>
      <c r="C34" s="19" t="str" cm="1">
        <f t="array" ref="C34">BigInt.Norm(Norm_Tests[[#This Row],[input]])</f>
        <v>-123</v>
      </c>
      <c r="D34" s="19" t="b" cm="1">
        <f t="array" ref="D34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4" t="s">
        <v>673</v>
      </c>
    </row>
    <row r="35" spans="1:5" hidden="1" outlineLevel="1">
      <c r="A35" s="18" t="s">
        <v>668</v>
      </c>
      <c r="B35" s="2" t="s">
        <v>670</v>
      </c>
      <c r="C35" s="19" t="str" cm="1">
        <f t="array" ref="C35">BigInt.Norm(Norm_Tests[[#This Row],[input]])</f>
        <v>-1234</v>
      </c>
      <c r="D35" s="19" t="b" cm="1">
        <f t="array" ref="D35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5" t="s">
        <v>672</v>
      </c>
    </row>
    <row r="36" spans="1:5" hidden="1" outlineLevel="1">
      <c r="A36" s="18" t="s">
        <v>669</v>
      </c>
      <c r="B36" s="2" t="s">
        <v>4</v>
      </c>
      <c r="C36" s="19" t="str" cm="1">
        <f t="array" ref="C36">BigInt.Norm(Norm_Tests[[#This Row],[input]])</f>
        <v>0</v>
      </c>
      <c r="D36" s="19" t="b" cm="1">
        <f t="array" ref="D36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6" t="s">
        <v>671</v>
      </c>
    </row>
    <row r="37" spans="1:5" hidden="1" outlineLevel="1">
      <c r="A37" s="18" t="s">
        <v>675</v>
      </c>
      <c r="B37" s="2" t="s">
        <v>16</v>
      </c>
      <c r="C37" s="19" t="str" cm="1">
        <f t="array" ref="C37">BigInt.Norm(Norm_Tests[[#This Row],[input]])</f>
        <v>123</v>
      </c>
      <c r="D37" s="19" t="b" cm="1">
        <f t="array" ref="D37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7" t="s">
        <v>679</v>
      </c>
    </row>
    <row r="38" spans="1:5" hidden="1" outlineLevel="1">
      <c r="A38" s="18" t="s">
        <v>676</v>
      </c>
      <c r="B38" s="2" t="s">
        <v>17</v>
      </c>
      <c r="C38" s="19" t="str" cm="1">
        <f t="array" ref="C38">BigInt.Norm(Norm_Tests[[#This Row],[input]])</f>
        <v>-123</v>
      </c>
      <c r="D38" s="19" t="b" cm="1">
        <f t="array" ref="D38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8" t="s">
        <v>680</v>
      </c>
    </row>
    <row r="39" spans="1:5" hidden="1" outlineLevel="1">
      <c r="A39" s="18" t="s">
        <v>677</v>
      </c>
      <c r="B39" s="2" t="s">
        <v>17</v>
      </c>
      <c r="C39" s="19" t="str" cm="1">
        <f t="array" ref="C39">BigInt.Norm(Norm_Tests[[#This Row],[input]])</f>
        <v>-123</v>
      </c>
      <c r="D39" s="19" t="b" cm="1">
        <f t="array" ref="D39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39" t="s">
        <v>681</v>
      </c>
    </row>
    <row r="40" spans="1:5" hidden="1" outlineLevel="1">
      <c r="A40" s="18" t="s">
        <v>678</v>
      </c>
      <c r="B40" s="2" t="e">
        <v>#VALUE!</v>
      </c>
      <c r="C40" s="19" t="e" cm="1">
        <f t="array" ref="C40">BigInt.Norm(Norm_Tests[[#This Row],[input]])</f>
        <v>#VALUE!</v>
      </c>
      <c r="D40" s="19" t="b" cm="1">
        <f t="array" ref="D40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0" t="s">
        <v>682</v>
      </c>
    </row>
    <row r="41" spans="1:5" hidden="1" outlineLevel="1">
      <c r="A41" s="18" t="s">
        <v>683</v>
      </c>
      <c r="B41" s="2" t="s">
        <v>694</v>
      </c>
      <c r="C41" s="19" t="str" cm="1">
        <f t="array" ref="C41">BigInt.Norm(Norm_Tests[[#This Row],[input]])</f>
        <v>125000</v>
      </c>
      <c r="D41" s="19" t="b" cm="1">
        <f t="array" ref="D41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1" t="s">
        <v>688</v>
      </c>
    </row>
    <row r="42" spans="1:5" hidden="1" outlineLevel="1">
      <c r="A42" s="18" t="s">
        <v>684</v>
      </c>
      <c r="B42" s="2" t="s">
        <v>695</v>
      </c>
      <c r="C42" s="19" t="str" cm="1">
        <f t="array" ref="C42">BigInt.Norm(Norm_Tests[[#This Row],[input]])</f>
        <v>-30000</v>
      </c>
      <c r="D42" s="19" t="b" cm="1">
        <f t="array" ref="D42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2" t="s">
        <v>689</v>
      </c>
    </row>
    <row r="43" spans="1:5" hidden="1" outlineLevel="1">
      <c r="A43" s="18" t="s">
        <v>685</v>
      </c>
      <c r="B43" s="2" t="s">
        <v>693</v>
      </c>
      <c r="C43" s="19" t="str" cm="1">
        <f t="array" ref="C43">BigInt.Norm(Norm_Tests[[#This Row],[input]])</f>
        <v>123456000000000000000</v>
      </c>
      <c r="D43" s="19" t="b" cm="1">
        <f t="array" ref="D43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3" t="s">
        <v>690</v>
      </c>
    </row>
    <row r="44" spans="1:5" hidden="1" outlineLevel="1">
      <c r="A44" s="18" t="s">
        <v>686</v>
      </c>
      <c r="B44" s="19" t="e">
        <v>#VALUE!</v>
      </c>
      <c r="C44" s="19" t="e" cm="1">
        <f t="array" ref="C44">BigInt.Norm(Norm_Tests[[#This Row],[input]])</f>
        <v>#VALUE!</v>
      </c>
      <c r="D44" s="19" t="b" cm="1">
        <f t="array" ref="D44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4" t="s">
        <v>691</v>
      </c>
    </row>
    <row r="45" spans="1:5" hidden="1" outlineLevel="1">
      <c r="A45" s="18" t="s">
        <v>687</v>
      </c>
      <c r="B45" s="19" t="e">
        <v>#VALUE!</v>
      </c>
      <c r="C45" s="19" t="e" cm="1">
        <f t="array" ref="C45">BigInt.Norm(Norm_Tests[[#This Row],[input]])</f>
        <v>#VALUE!</v>
      </c>
      <c r="D45" s="19" t="b" cm="1">
        <f t="array" ref="D45">_xlfn.SWITCH(ISERROR(Norm_Tests[[#This Row],[expected]]) &amp; ISERROR(Norm_Tests[[#This Row],[output]]),
    "FALSEFALSE", Norm_Tests[[#This Row],[expected]] = Norm_Tests[[#This Row],[output]],
    "TRUETRUE", ERROR.TYPE(Norm_Tests[[#This Row],[expected]]) = ERROR.TYPE(Norm_Tests[[#This Row],[output]]),
    FALSE
)</f>
        <v>1</v>
      </c>
      <c r="E45" t="s">
        <v>692</v>
      </c>
    </row>
    <row r="46" spans="1:5" collapsed="1">
      <c r="D46" t="b">
        <f>AND(Norm_Tests[passing])</f>
        <v>1</v>
      </c>
    </row>
    <row r="47" spans="1:5" ht="15" thickBot="1"/>
    <row r="48" spans="1:5" ht="19" thickBot="1">
      <c r="A48" s="1" t="s">
        <v>411</v>
      </c>
      <c r="B48" s="1"/>
      <c r="C48" s="1"/>
      <c r="D48" s="1"/>
      <c r="E48" s="1"/>
    </row>
    <row r="49" spans="1:5">
      <c r="A49" t="s">
        <v>107</v>
      </c>
      <c r="B49" t="s">
        <v>32</v>
      </c>
      <c r="C49" t="s">
        <v>33</v>
      </c>
      <c r="D49" s="6" t="s">
        <v>45</v>
      </c>
      <c r="E49" t="s">
        <v>34</v>
      </c>
    </row>
    <row r="50" spans="1:5" ht="29" hidden="1" outlineLevel="1">
      <c r="A50" s="12" t="s">
        <v>176</v>
      </c>
      <c r="B50" s="9">
        <v>14</v>
      </c>
      <c r="C50" s="9" cm="1">
        <f t="array" ref="C5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5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0" s="10" t="s">
        <v>44</v>
      </c>
    </row>
    <row r="51" spans="1:5" ht="29" hidden="1" outlineLevel="1">
      <c r="A51" s="12" t="s">
        <v>177</v>
      </c>
      <c r="B51" s="9">
        <v>14</v>
      </c>
      <c r="C51" s="9" cm="1">
        <f t="array" ref="C5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5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1" s="10" t="s">
        <v>35</v>
      </c>
    </row>
    <row r="52" spans="1:5" ht="29" hidden="1" outlineLevel="1">
      <c r="A52" s="12" t="s">
        <v>178</v>
      </c>
      <c r="B52" s="9">
        <v>11</v>
      </c>
      <c r="C52" s="9" cm="1">
        <f t="array" ref="C5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5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2" s="10" t="s">
        <v>43</v>
      </c>
    </row>
    <row r="53" spans="1:5" ht="29" hidden="1" outlineLevel="1">
      <c r="A53" s="12" t="s">
        <v>179</v>
      </c>
      <c r="B53" s="9">
        <v>7</v>
      </c>
      <c r="C53" s="9" cm="1">
        <f t="array" ref="C5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5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3" s="10" t="s">
        <v>42</v>
      </c>
    </row>
    <row r="54" spans="1:5" ht="29" hidden="1" outlineLevel="1">
      <c r="A54" s="12" t="s">
        <v>180</v>
      </c>
      <c r="B54" s="9">
        <v>6</v>
      </c>
      <c r="C54" s="9" cm="1">
        <f t="array" ref="C5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5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4" s="10" t="s">
        <v>41</v>
      </c>
    </row>
    <row r="55" spans="1:5" ht="29" hidden="1" outlineLevel="1">
      <c r="A55" s="12" t="s">
        <v>181</v>
      </c>
      <c r="B55" s="9">
        <v>5</v>
      </c>
      <c r="C55" s="9" cm="1">
        <f t="array" ref="C5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5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5" s="10" t="s">
        <v>40</v>
      </c>
    </row>
    <row r="56" spans="1:5" ht="29" hidden="1" outlineLevel="1">
      <c r="A56" s="12" t="s">
        <v>346</v>
      </c>
      <c r="B56" s="9" t="e">
        <v>#NAME?</v>
      </c>
      <c r="C56" s="9" t="e" cm="1">
        <f t="array" ref="C5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5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56" s="10" t="s">
        <v>36</v>
      </c>
    </row>
    <row r="57" spans="1:5" collapsed="1">
      <c r="D57" t="b">
        <f>AND(SafeK_Tests[passing])</f>
        <v>1</v>
      </c>
    </row>
    <row r="58" spans="1:5" ht="15" thickBot="1">
      <c r="C58" s="2"/>
    </row>
    <row r="59" spans="1:5" ht="19" thickBot="1">
      <c r="A59" s="1" t="s">
        <v>412</v>
      </c>
      <c r="B59" s="1"/>
      <c r="C59" s="1"/>
      <c r="D59" s="1"/>
      <c r="E59" s="1"/>
    </row>
    <row r="60" spans="1:5">
      <c r="A60" t="s">
        <v>107</v>
      </c>
      <c r="B60" t="s">
        <v>32</v>
      </c>
      <c r="C60" t="s">
        <v>33</v>
      </c>
      <c r="D60" s="6" t="s">
        <v>45</v>
      </c>
      <c r="E60" t="s">
        <v>34</v>
      </c>
    </row>
    <row r="61" spans="1:5" hidden="1" outlineLevel="1">
      <c r="A61" t="s">
        <v>170</v>
      </c>
      <c r="B61" s="2" t="s">
        <v>38</v>
      </c>
      <c r="C61" t="str" cm="1">
        <f t="array" ref="C6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6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61" s="4" t="s">
        <v>175</v>
      </c>
    </row>
    <row r="62" spans="1:5" hidden="1" outlineLevel="1">
      <c r="A62" t="s">
        <v>115</v>
      </c>
      <c r="B62" s="2" t="s">
        <v>37</v>
      </c>
      <c r="C62" t="str" cm="1">
        <f t="array" ref="C6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6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62" s="4" t="s">
        <v>47</v>
      </c>
    </row>
    <row r="63" spans="1:5" hidden="1" outlineLevel="1">
      <c r="A63" t="s">
        <v>171</v>
      </c>
      <c r="B63" s="2" t="s">
        <v>16</v>
      </c>
      <c r="C63" t="str" cm="1">
        <f t="array" ref="C6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6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63" s="4" t="s">
        <v>90</v>
      </c>
    </row>
    <row r="64" spans="1:5" hidden="1" outlineLevel="1">
      <c r="A64" t="s">
        <v>172</v>
      </c>
      <c r="B64" s="2" t="s">
        <v>39</v>
      </c>
      <c r="C64" t="str" cm="1">
        <f t="array" ref="C6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6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64" s="4" t="s">
        <v>48</v>
      </c>
    </row>
    <row r="65" spans="1:5" hidden="1" outlineLevel="1">
      <c r="A65" t="s">
        <v>173</v>
      </c>
      <c r="B65" s="2" t="s">
        <v>46</v>
      </c>
      <c r="C65" t="str" cm="1">
        <f t="array" ref="C6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6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65" s="4" t="s">
        <v>174</v>
      </c>
    </row>
    <row r="66" spans="1:5" collapsed="1">
      <c r="B66" s="2"/>
      <c r="D66" t="b">
        <f>AND(Merge_Tests[passing])</f>
        <v>1</v>
      </c>
    </row>
    <row r="67" spans="1:5" ht="15" thickBot="1"/>
    <row r="68" spans="1:5" ht="18.5">
      <c r="A68" s="5" t="s">
        <v>424</v>
      </c>
      <c r="B68" s="5"/>
      <c r="C68" s="5"/>
      <c r="D68" s="5"/>
      <c r="E68" s="5"/>
    </row>
    <row r="69" spans="1:5">
      <c r="A69" t="s">
        <v>107</v>
      </c>
      <c r="B69" t="s">
        <v>32</v>
      </c>
      <c r="C69" t="s">
        <v>33</v>
      </c>
      <c r="D69" s="6" t="s">
        <v>45</v>
      </c>
      <c r="E69" t="s">
        <v>34</v>
      </c>
    </row>
    <row r="70" spans="1:5" hidden="1" outlineLevel="1">
      <c r="A70" s="2" t="s">
        <v>4</v>
      </c>
      <c r="B70" s="2">
        <v>0</v>
      </c>
      <c r="C70" cm="1">
        <f t="array" ref="C70">BigInt.Sign(Internal_Sign_Tests[[#This Row],[input]])</f>
        <v>0</v>
      </c>
      <c r="D7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0" s="4" t="s">
        <v>72</v>
      </c>
    </row>
    <row r="71" spans="1:5" hidden="1" outlineLevel="1">
      <c r="A71" s="2" t="s">
        <v>5</v>
      </c>
      <c r="B71" s="2">
        <v>0</v>
      </c>
      <c r="C71" cm="1">
        <f t="array" ref="C71">BigInt.Sign(Internal_Sign_Tests[[#This Row],[input]])</f>
        <v>0</v>
      </c>
      <c r="D7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1" s="4" t="s">
        <v>71</v>
      </c>
    </row>
    <row r="72" spans="1:5" hidden="1" outlineLevel="1">
      <c r="A72" s="2" t="s">
        <v>6</v>
      </c>
      <c r="B72" s="2">
        <v>0</v>
      </c>
      <c r="C72" cm="1">
        <f t="array" ref="C72">BigInt.Sign(Internal_Sign_Tests[[#This Row],[input]])</f>
        <v>0</v>
      </c>
      <c r="D7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2" s="4" t="s">
        <v>70</v>
      </c>
    </row>
    <row r="73" spans="1:5" hidden="1" outlineLevel="1">
      <c r="A73" s="2" t="s">
        <v>49</v>
      </c>
      <c r="B73" s="2">
        <v>0</v>
      </c>
      <c r="C73" cm="1">
        <f t="array" ref="C73">BigInt.Sign(Internal_Sign_Tests[[#This Row],[input]])</f>
        <v>0</v>
      </c>
      <c r="D7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3" s="4" t="s">
        <v>73</v>
      </c>
    </row>
    <row r="74" spans="1:5" hidden="1" outlineLevel="1">
      <c r="B74" s="2">
        <v>0</v>
      </c>
      <c r="C74" cm="1">
        <f t="array" ref="C74">BigInt.Sign(Internal_Sign_Tests[[#This Row],[input]])</f>
        <v>0</v>
      </c>
      <c r="D7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4" s="4" t="s">
        <v>74</v>
      </c>
    </row>
    <row r="75" spans="1:5" hidden="1" outlineLevel="1">
      <c r="A75" s="2" t="s">
        <v>50</v>
      </c>
      <c r="B75" s="2">
        <v>1</v>
      </c>
      <c r="C75" cm="1">
        <f t="array" ref="C75">BigInt.Sign(Internal_Sign_Tests[[#This Row],[input]])</f>
        <v>1</v>
      </c>
      <c r="D7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5" s="4" t="s">
        <v>75</v>
      </c>
    </row>
    <row r="76" spans="1:5" hidden="1" outlineLevel="1">
      <c r="A76" s="2" t="s">
        <v>51</v>
      </c>
      <c r="B76" s="2">
        <v>-1</v>
      </c>
      <c r="C76" cm="1">
        <f t="array" ref="C76">BigInt.Sign(Internal_Sign_Tests[[#This Row],[input]])</f>
        <v>-1</v>
      </c>
      <c r="D7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6" s="4" t="s">
        <v>76</v>
      </c>
    </row>
    <row r="77" spans="1:5" hidden="1" outlineLevel="1">
      <c r="A77" s="2" t="s">
        <v>66</v>
      </c>
      <c r="B77" s="2">
        <v>-1</v>
      </c>
      <c r="C77" cm="1">
        <f t="array" ref="C77">BigInt.Sign(Internal_Sign_Tests[[#This Row],[input]])</f>
        <v>-1</v>
      </c>
      <c r="D7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7" s="4" t="s">
        <v>78</v>
      </c>
    </row>
    <row r="78" spans="1:5" hidden="1" outlineLevel="1">
      <c r="A78" s="2" t="s">
        <v>77</v>
      </c>
      <c r="B78">
        <v>1</v>
      </c>
      <c r="C78" cm="1">
        <f t="array" ref="C78">BigInt.Sign(Internal_Sign_Tests[[#This Row],[input]])</f>
        <v>1</v>
      </c>
      <c r="D7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8" s="4" t="s">
        <v>79</v>
      </c>
    </row>
    <row r="79" spans="1:5" hidden="1" outlineLevel="1">
      <c r="A79" s="2" t="s">
        <v>80</v>
      </c>
      <c r="B79" t="e">
        <v>#VALUE!</v>
      </c>
      <c r="C79" t="e" cm="1">
        <f t="array" ref="C79">BigInt.Sign(Internal_Sign_Tests[[#This Row],[input]])</f>
        <v>#VALUE!</v>
      </c>
      <c r="D7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79" s="4" t="s">
        <v>81</v>
      </c>
    </row>
    <row r="80" spans="1:5" collapsed="1">
      <c r="A80" s="2"/>
      <c r="D80" t="b">
        <f>AND(Internal_Sign_Tests[passing])</f>
        <v>1</v>
      </c>
    </row>
    <row r="81" spans="1:5" ht="15" thickBot="1"/>
    <row r="82" spans="1:5" ht="18.5">
      <c r="A82" s="5" t="s">
        <v>425</v>
      </c>
      <c r="B82" s="5"/>
      <c r="C82" s="5"/>
      <c r="D82" s="5"/>
      <c r="E82" s="5"/>
    </row>
    <row r="83" spans="1:5">
      <c r="A83" t="s">
        <v>107</v>
      </c>
      <c r="B83" t="s">
        <v>32</v>
      </c>
      <c r="C83" t="s">
        <v>33</v>
      </c>
      <c r="D83" s="6" t="s">
        <v>45</v>
      </c>
      <c r="E83" t="s">
        <v>34</v>
      </c>
    </row>
    <row r="84" spans="1:5" hidden="1" outlineLevel="1">
      <c r="A84" s="2" t="s">
        <v>4</v>
      </c>
      <c r="B84" t="b">
        <v>1</v>
      </c>
      <c r="C84" t="b" cm="1">
        <f t="array" ref="C84">BigInt.IsZero(IsZero_Tests[[#This Row],[input]])</f>
        <v>1</v>
      </c>
      <c r="D8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4" s="4" t="s">
        <v>53</v>
      </c>
    </row>
    <row r="85" spans="1:5" hidden="1" outlineLevel="1">
      <c r="A85" s="2" t="s">
        <v>5</v>
      </c>
      <c r="B85" t="b">
        <v>1</v>
      </c>
      <c r="C85" t="b" cm="1">
        <f t="array" ref="C85">BigInt.IsZero(IsZero_Tests[[#This Row],[input]])</f>
        <v>1</v>
      </c>
      <c r="D8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5" s="4" t="s">
        <v>52</v>
      </c>
    </row>
    <row r="86" spans="1:5" hidden="1" outlineLevel="1">
      <c r="A86" s="2" t="s">
        <v>6</v>
      </c>
      <c r="B86" t="b">
        <v>1</v>
      </c>
      <c r="C86" t="b" cm="1">
        <f t="array" ref="C86">BigInt.IsZero(IsZero_Tests[[#This Row],[input]])</f>
        <v>1</v>
      </c>
      <c r="D8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6" s="4" t="s">
        <v>54</v>
      </c>
    </row>
    <row r="87" spans="1:5" hidden="1" outlineLevel="1">
      <c r="A87" s="2" t="s">
        <v>49</v>
      </c>
      <c r="B87" t="b">
        <v>1</v>
      </c>
      <c r="C87" t="b" cm="1">
        <f t="array" ref="C87">BigInt.IsZero(IsZero_Tests[[#This Row],[input]])</f>
        <v>1</v>
      </c>
      <c r="D8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7" s="4" t="s">
        <v>55</v>
      </c>
    </row>
    <row r="88" spans="1:5" hidden="1" outlineLevel="1">
      <c r="B88" t="b">
        <v>1</v>
      </c>
      <c r="C88" t="b" cm="1">
        <f t="array" ref="C88">BigInt.IsZero(IsZero_Tests[[#This Row],[input]])</f>
        <v>1</v>
      </c>
      <c r="D8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8" s="4" t="s">
        <v>56</v>
      </c>
    </row>
    <row r="89" spans="1:5" hidden="1" outlineLevel="1">
      <c r="A89" s="2" t="s">
        <v>50</v>
      </c>
      <c r="B89" t="b">
        <v>0</v>
      </c>
      <c r="C89" t="b" cm="1">
        <f t="array" ref="C89">BigInt.IsZero(IsZero_Tests[[#This Row],[input]])</f>
        <v>0</v>
      </c>
      <c r="D8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89" s="4" t="s">
        <v>57</v>
      </c>
    </row>
    <row r="90" spans="1:5" hidden="1" outlineLevel="1">
      <c r="A90" s="2" t="s">
        <v>51</v>
      </c>
      <c r="B90" t="b">
        <v>0</v>
      </c>
      <c r="C90" t="b" cm="1">
        <f t="array" ref="C90">BigInt.IsZero(IsZero_Tests[[#This Row],[input]])</f>
        <v>0</v>
      </c>
      <c r="D9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90" s="4" t="s">
        <v>58</v>
      </c>
    </row>
    <row r="91" spans="1:5" collapsed="1">
      <c r="A91" s="2"/>
      <c r="D91" t="b">
        <f>AND(IsZero_Tests[passing])</f>
        <v>1</v>
      </c>
    </row>
    <row r="92" spans="1:5" ht="15" thickBot="1"/>
    <row r="93" spans="1:5" ht="18.5">
      <c r="A93" s="5" t="s">
        <v>426</v>
      </c>
      <c r="B93" s="5"/>
      <c r="C93" s="5"/>
      <c r="D93" s="5"/>
      <c r="E93" s="5"/>
    </row>
    <row r="94" spans="1:5">
      <c r="A94" t="s">
        <v>107</v>
      </c>
      <c r="B94" t="s">
        <v>32</v>
      </c>
      <c r="C94" t="s">
        <v>33</v>
      </c>
      <c r="D94" s="6" t="s">
        <v>45</v>
      </c>
      <c r="E94" t="s">
        <v>34</v>
      </c>
    </row>
    <row r="95" spans="1:5" hidden="1" outlineLevel="1">
      <c r="A95" s="2" t="s">
        <v>4</v>
      </c>
      <c r="B95" t="b">
        <v>0</v>
      </c>
      <c r="C95" t="b" cm="1">
        <f t="array" ref="C95">BigInt.IsNeg(IsNeg_Tests[[#This Row],[input]])</f>
        <v>0</v>
      </c>
      <c r="D9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95" s="4" t="s">
        <v>59</v>
      </c>
    </row>
    <row r="96" spans="1:5" hidden="1" outlineLevel="1">
      <c r="A96" s="2" t="s">
        <v>5</v>
      </c>
      <c r="B96" t="b">
        <v>0</v>
      </c>
      <c r="C96" t="b" cm="1">
        <f t="array" ref="C96">BigInt.IsNeg(IsNeg_Tests[[#This Row],[input]])</f>
        <v>0</v>
      </c>
      <c r="D9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96" s="4" t="s">
        <v>60</v>
      </c>
    </row>
    <row r="97" spans="1:5" hidden="1" outlineLevel="1">
      <c r="A97" s="2" t="s">
        <v>6</v>
      </c>
      <c r="B97" t="b">
        <v>0</v>
      </c>
      <c r="C97" t="b" cm="1">
        <f t="array" ref="C97">BigInt.IsNeg(IsNeg_Tests[[#This Row],[input]])</f>
        <v>0</v>
      </c>
      <c r="D9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97" s="4" t="s">
        <v>61</v>
      </c>
    </row>
    <row r="98" spans="1:5" hidden="1" outlineLevel="1">
      <c r="A98" s="2" t="s">
        <v>49</v>
      </c>
      <c r="B98" t="b">
        <v>0</v>
      </c>
      <c r="C98" t="b" cm="1">
        <f t="array" ref="C98">BigInt.IsNeg(IsNeg_Tests[[#This Row],[input]])</f>
        <v>0</v>
      </c>
      <c r="D9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98" s="4" t="s">
        <v>62</v>
      </c>
    </row>
    <row r="99" spans="1:5" hidden="1" outlineLevel="1">
      <c r="B99" t="b">
        <v>0</v>
      </c>
      <c r="C99" t="b" cm="1">
        <f t="array" ref="C99">BigInt.IsNeg(IsNeg_Tests[[#This Row],[input]])</f>
        <v>0</v>
      </c>
      <c r="D9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99" s="4" t="s">
        <v>63</v>
      </c>
    </row>
    <row r="100" spans="1:5" hidden="1" outlineLevel="1">
      <c r="A100" s="2" t="s">
        <v>50</v>
      </c>
      <c r="B100" t="b">
        <v>0</v>
      </c>
      <c r="C100" t="b" cm="1">
        <f t="array" ref="C100">BigInt.IsNeg(IsNeg_Tests[[#This Row],[input]])</f>
        <v>0</v>
      </c>
      <c r="D10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100" s="4" t="s">
        <v>64</v>
      </c>
    </row>
    <row r="101" spans="1:5" hidden="1" outlineLevel="1">
      <c r="A101" s="2" t="s">
        <v>51</v>
      </c>
      <c r="B101" t="b">
        <v>1</v>
      </c>
      <c r="C101" t="b" cm="1">
        <f t="array" ref="C101">BigInt.IsNeg(IsNeg_Tests[[#This Row],[input]])</f>
        <v>1</v>
      </c>
      <c r="D10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101" s="4" t="s">
        <v>65</v>
      </c>
    </row>
    <row r="102" spans="1:5" collapsed="1">
      <c r="A102" s="2"/>
      <c r="D102" t="b">
        <f>AND(IsNeg_Tests[passing])</f>
        <v>1</v>
      </c>
    </row>
    <row r="103" spans="1:5" ht="15" thickBot="1"/>
    <row r="104" spans="1:5" ht="18.5">
      <c r="A104" s="5" t="s">
        <v>427</v>
      </c>
      <c r="B104" s="5"/>
      <c r="C104" s="5"/>
      <c r="D104" s="5"/>
      <c r="E104" s="5"/>
    </row>
    <row r="105" spans="1:5">
      <c r="A105" t="s">
        <v>107</v>
      </c>
      <c r="B105" t="s">
        <v>32</v>
      </c>
      <c r="C105" t="s">
        <v>33</v>
      </c>
      <c r="D105" s="6" t="s">
        <v>45</v>
      </c>
      <c r="E105" t="s">
        <v>34</v>
      </c>
    </row>
    <row r="106" spans="1:5" hidden="1" outlineLevel="1">
      <c r="A106" s="2" t="s">
        <v>4</v>
      </c>
      <c r="B106" s="2" t="s">
        <v>4</v>
      </c>
      <c r="C106" t="str" cm="1">
        <f t="array" ref="C106">BigInt.Abs(Abs_Tests[[#This Row],[input]])</f>
        <v>0</v>
      </c>
      <c r="D10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06" s="4" t="s">
        <v>67</v>
      </c>
    </row>
    <row r="107" spans="1:5" hidden="1" outlineLevel="1">
      <c r="A107" s="2" t="s">
        <v>5</v>
      </c>
      <c r="B107" s="2" t="s">
        <v>4</v>
      </c>
      <c r="C107" t="str" cm="1">
        <f t="array" ref="C107">BigInt.Abs(Abs_Tests[[#This Row],[input]])</f>
        <v>0</v>
      </c>
      <c r="D10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07" s="4" t="s">
        <v>60</v>
      </c>
    </row>
    <row r="108" spans="1:5" hidden="1" outlineLevel="1">
      <c r="A108" s="2" t="s">
        <v>6</v>
      </c>
      <c r="B108" s="2" t="s">
        <v>4</v>
      </c>
      <c r="C108" t="str" cm="1">
        <f t="array" ref="C108">BigInt.Abs(Abs_Tests[[#This Row],[input]])</f>
        <v>0</v>
      </c>
      <c r="D10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08" s="4" t="s">
        <v>61</v>
      </c>
    </row>
    <row r="109" spans="1:5" hidden="1" outlineLevel="1">
      <c r="A109" s="2" t="s">
        <v>49</v>
      </c>
      <c r="B109" s="2" t="s">
        <v>4</v>
      </c>
      <c r="C109" t="str" cm="1">
        <f t="array" ref="C109">BigInt.Abs(Abs_Tests[[#This Row],[input]])</f>
        <v>0</v>
      </c>
      <c r="D10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09" s="4" t="s">
        <v>62</v>
      </c>
    </row>
    <row r="110" spans="1:5" hidden="1" outlineLevel="1">
      <c r="B110" s="2" t="s">
        <v>4</v>
      </c>
      <c r="C110" t="str" cm="1">
        <f t="array" ref="C110">BigInt.Abs(Abs_Tests[[#This Row],[input]])</f>
        <v>0</v>
      </c>
      <c r="D11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10" s="4" t="s">
        <v>63</v>
      </c>
    </row>
    <row r="111" spans="1:5" hidden="1" outlineLevel="1">
      <c r="A111" s="2" t="s">
        <v>50</v>
      </c>
      <c r="B111" s="2" t="s">
        <v>50</v>
      </c>
      <c r="C111" t="str" cm="1">
        <f t="array" ref="C111">BigInt.Abs(Abs_Tests[[#This Row],[input]])</f>
        <v>1</v>
      </c>
      <c r="D11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11" s="4" t="s">
        <v>64</v>
      </c>
    </row>
    <row r="112" spans="1:5" hidden="1" outlineLevel="1">
      <c r="A112" s="2" t="s">
        <v>51</v>
      </c>
      <c r="B112" s="2" t="s">
        <v>50</v>
      </c>
      <c r="C112" t="str" cm="1">
        <f t="array" ref="C112">BigInt.Abs(Abs_Tests[[#This Row],[input]])</f>
        <v>1</v>
      </c>
      <c r="D11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12" s="4" t="s">
        <v>69</v>
      </c>
    </row>
    <row r="113" spans="1:5" hidden="1" outlineLevel="1">
      <c r="A113" s="2" t="s">
        <v>66</v>
      </c>
      <c r="B113" s="2" t="s">
        <v>16</v>
      </c>
      <c r="C113" t="str" cm="1">
        <f t="array" ref="C113">BigInt.Abs(Abs_Tests[[#This Row],[input]])</f>
        <v>123</v>
      </c>
      <c r="D11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113" s="4" t="s">
        <v>68</v>
      </c>
    </row>
    <row r="114" spans="1:5" collapsed="1">
      <c r="A114" s="2"/>
      <c r="D114" t="b">
        <f>AND(Abs_Tests[passing])</f>
        <v>1</v>
      </c>
    </row>
    <row r="115" spans="1:5" ht="15" thickBot="1"/>
    <row r="116" spans="1:5" ht="18.5">
      <c r="A116" s="5" t="s">
        <v>428</v>
      </c>
      <c r="B116" s="5"/>
      <c r="C116" s="5"/>
      <c r="D116" s="5"/>
      <c r="E116" s="5"/>
    </row>
    <row r="117" spans="1:5">
      <c r="A117" t="s">
        <v>107</v>
      </c>
      <c r="B117" t="s">
        <v>32</v>
      </c>
      <c r="C117" t="s">
        <v>33</v>
      </c>
      <c r="D117" s="6" t="s">
        <v>45</v>
      </c>
      <c r="E117" t="s">
        <v>34</v>
      </c>
    </row>
    <row r="118" spans="1:5" ht="29" hidden="1" outlineLevel="1">
      <c r="A118" s="7" t="s">
        <v>164</v>
      </c>
      <c r="B118" s="9">
        <v>1</v>
      </c>
      <c r="C118" s="9" cm="1">
        <f t="array" ref="C118">_xlfn.LET(
    _xlpm.ab, _xlfn.REGEXEXTRACT(Compare_Tests[[#This Row],[input]], "=\s*\{?\K[\w,; .-]*", 1),
    _xlpm.a, INDEX(_xlpm.ab,1,1),
    _xlpm.b, INDEX(_xlpm.ab,1,2),
    BigInt.Compare(_xlpm.a, _xlpm.b)
)</f>
        <v>1</v>
      </c>
      <c r="D11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18" s="10" t="s">
        <v>87</v>
      </c>
    </row>
    <row r="119" spans="1:5" ht="29" hidden="1" outlineLevel="1">
      <c r="A119" s="7" t="s">
        <v>165</v>
      </c>
      <c r="B119" s="9">
        <v>-1</v>
      </c>
      <c r="C119" s="9" cm="1">
        <f t="array" ref="C119">_xlfn.LET(
    _xlpm.ab, _xlfn.REGEXEXTRACT(Compare_Tests[[#This Row],[input]], "=\s*\{?\K[\w,; .-]*", 1),
    _xlpm.a, INDEX(_xlpm.ab,1,1),
    _xlpm.b, INDEX(_xlpm.ab,1,2),
    BigInt.Compare(_xlpm.a, _xlpm.b)
)</f>
        <v>-1</v>
      </c>
      <c r="D11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19" s="10" t="s">
        <v>82</v>
      </c>
    </row>
    <row r="120" spans="1:5" ht="29" hidden="1" outlineLevel="1">
      <c r="A120" s="7" t="s">
        <v>166</v>
      </c>
      <c r="B120" s="9">
        <v>1</v>
      </c>
      <c r="C120" s="9" cm="1">
        <f t="array" ref="C120">_xlfn.LET(
    _xlpm.ab, _xlfn.REGEXEXTRACT(Compare_Tests[[#This Row],[input]], "=\s*\{?\K[\w,; .-]*", 1),
    _xlpm.a, INDEX(_xlpm.ab,1,1),
    _xlpm.b, INDEX(_xlpm.ab,1,2),
    BigInt.Compare(_xlpm.a, _xlpm.b)
)</f>
        <v>1</v>
      </c>
      <c r="D12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20" s="10" t="s">
        <v>83</v>
      </c>
    </row>
    <row r="121" spans="1:5" ht="29" hidden="1" outlineLevel="1">
      <c r="A121" s="7" t="s">
        <v>167</v>
      </c>
      <c r="B121" s="9">
        <v>-1</v>
      </c>
      <c r="C121" s="9" cm="1">
        <f t="array" ref="C121">_xlfn.LET(
    _xlpm.ab, _xlfn.REGEXEXTRACT(Compare_Tests[[#This Row],[input]], "=\s*\{?\K[\w,; .-]*", 1),
    _xlpm.a, INDEX(_xlpm.ab,1,1),
    _xlpm.b, INDEX(_xlpm.ab,1,2),
    BigInt.Compare(_xlpm.a, _xlpm.b)
)</f>
        <v>-1</v>
      </c>
      <c r="D12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21" s="10" t="s">
        <v>84</v>
      </c>
    </row>
    <row r="122" spans="1:5" ht="29" hidden="1" outlineLevel="1">
      <c r="A122" s="7" t="s">
        <v>168</v>
      </c>
      <c r="B122" s="9">
        <v>-1</v>
      </c>
      <c r="C122" s="9" cm="1">
        <f t="array" ref="C122">_xlfn.LET(
    _xlpm.ab, _xlfn.REGEXEXTRACT(Compare_Tests[[#This Row],[input]], "=\s*\{?\K[\w,; .-]*", 1),
    _xlpm.a, INDEX(_xlpm.ab,1,1),
    _xlpm.b, INDEX(_xlpm.ab,1,2),
    BigInt.Compare(_xlpm.a, _xlpm.b)
)</f>
        <v>-1</v>
      </c>
      <c r="D12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22" s="10" t="s">
        <v>85</v>
      </c>
    </row>
    <row r="123" spans="1:5" ht="29" hidden="1" outlineLevel="1">
      <c r="A123" s="7" t="s">
        <v>169</v>
      </c>
      <c r="B123" s="9">
        <v>0</v>
      </c>
      <c r="C123" s="9" cm="1">
        <f t="array" ref="C123">_xlfn.LET(
    _xlpm.ab, _xlfn.REGEXEXTRACT(Compare_Tests[[#This Row],[input]], "=\s*\{?\K[\w,; .-]*", 1),
    _xlpm.a, INDEX(_xlpm.ab,1,1),
    _xlpm.b, INDEX(_xlpm.ab,1,2),
    BigInt.Compare(_xlpm.a, _xlpm.b)
)</f>
        <v>0</v>
      </c>
      <c r="D12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23" s="10" t="s">
        <v>86</v>
      </c>
    </row>
    <row r="124" spans="1:5" collapsed="1">
      <c r="A124" s="2"/>
      <c r="D124" t="b">
        <f>AND(Compare_Tests[passing])</f>
        <v>1</v>
      </c>
    </row>
    <row r="125" spans="1:5" ht="15" thickBot="1"/>
    <row r="126" spans="1:5" ht="18.5">
      <c r="A126" s="5" t="s">
        <v>413</v>
      </c>
      <c r="B126" s="5"/>
      <c r="C126" s="5"/>
      <c r="D126" s="5"/>
      <c r="E126" s="5"/>
    </row>
    <row r="127" spans="1:5">
      <c r="A127" s="11" t="s">
        <v>107</v>
      </c>
      <c r="B127" t="s">
        <v>32</v>
      </c>
      <c r="C127" t="s">
        <v>33</v>
      </c>
      <c r="D127" s="6" t="s">
        <v>45</v>
      </c>
      <c r="E127" t="s">
        <v>34</v>
      </c>
    </row>
    <row r="128" spans="1:5" ht="29" hidden="1" outlineLevel="1">
      <c r="A128" s="12" t="s">
        <v>158</v>
      </c>
      <c r="B128" s="9" t="s">
        <v>89</v>
      </c>
      <c r="C128" s="9" t="str" cm="1">
        <f t="array" ref="C12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2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28" s="10" t="s">
        <v>101</v>
      </c>
    </row>
    <row r="129" spans="1:5" ht="29" hidden="1" outlineLevel="1">
      <c r="A129" s="12" t="s">
        <v>159</v>
      </c>
      <c r="B129" s="9" t="s">
        <v>91</v>
      </c>
      <c r="C129" s="9" t="str" cm="1">
        <f t="array" ref="C12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2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29" s="10" t="s">
        <v>102</v>
      </c>
    </row>
    <row r="130" spans="1:5" ht="29" hidden="1" outlineLevel="1">
      <c r="A130" s="12" t="s">
        <v>160</v>
      </c>
      <c r="B130" s="9" t="s">
        <v>92</v>
      </c>
      <c r="C130" s="9" t="str" cm="1">
        <f t="array" ref="C13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3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30" s="10" t="s">
        <v>103</v>
      </c>
    </row>
    <row r="131" spans="1:5" ht="29" hidden="1" outlineLevel="1">
      <c r="A131" s="12" t="s">
        <v>161</v>
      </c>
      <c r="B131" s="9" t="s">
        <v>93</v>
      </c>
      <c r="C131" s="9" t="str" cm="1">
        <f t="array" ref="C13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3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31" s="10" t="s">
        <v>104</v>
      </c>
    </row>
    <row r="132" spans="1:5" ht="29" hidden="1" outlineLevel="1">
      <c r="A132" s="12" t="s">
        <v>162</v>
      </c>
      <c r="B132" s="9" t="s">
        <v>94</v>
      </c>
      <c r="C132" s="9" t="str" cm="1">
        <f t="array" ref="C13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3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32" s="10" t="s">
        <v>105</v>
      </c>
    </row>
    <row r="133" spans="1:5" ht="29" hidden="1" outlineLevel="1">
      <c r="A133" s="12" t="s">
        <v>163</v>
      </c>
      <c r="B133" s="9" t="s">
        <v>88</v>
      </c>
      <c r="C133" s="9" t="str" cm="1">
        <f t="array" ref="C13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3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33" s="10" t="s">
        <v>106</v>
      </c>
    </row>
    <row r="134" spans="1:5" collapsed="1">
      <c r="A134" s="11"/>
      <c r="D134" t="b">
        <f>AND(Carry_Tests[passing])</f>
        <v>1</v>
      </c>
    </row>
    <row r="135" spans="1:5" ht="15" thickBot="1"/>
    <row r="136" spans="1:5" ht="18.5">
      <c r="A136" s="5" t="s">
        <v>414</v>
      </c>
      <c r="B136" s="5"/>
      <c r="C136" s="5"/>
      <c r="D136" s="5"/>
      <c r="E136" s="5"/>
    </row>
    <row r="137" spans="1:5">
      <c r="A137" t="s">
        <v>107</v>
      </c>
      <c r="B137" t="s">
        <v>32</v>
      </c>
      <c r="C137" t="s">
        <v>33</v>
      </c>
      <c r="D137" s="6" t="s">
        <v>45</v>
      </c>
      <c r="E137" t="s">
        <v>34</v>
      </c>
    </row>
    <row r="138" spans="1:5" ht="43.5" hidden="1" outlineLevel="1">
      <c r="A138" s="7" t="s">
        <v>139</v>
      </c>
      <c r="B138" s="8" t="s">
        <v>116</v>
      </c>
      <c r="C138" s="9" t="str" cm="1">
        <f t="array" ref="C13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3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38" s="10" t="s">
        <v>95</v>
      </c>
    </row>
    <row r="139" spans="1:5" ht="43.5" hidden="1" outlineLevel="1">
      <c r="A139" s="7" t="s">
        <v>138</v>
      </c>
      <c r="B139" s="8" t="s">
        <v>117</v>
      </c>
      <c r="C139" s="9" t="str" cm="1">
        <f t="array" ref="C13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3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39" s="10" t="s">
        <v>96</v>
      </c>
    </row>
    <row r="140" spans="1:5" ht="43.5" hidden="1" outlineLevel="1">
      <c r="A140" s="7" t="s">
        <v>140</v>
      </c>
      <c r="B140" s="8" t="s">
        <v>118</v>
      </c>
      <c r="C140" s="9" t="str" cm="1">
        <f t="array" ref="C14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4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40" s="10" t="s">
        <v>97</v>
      </c>
    </row>
    <row r="141" spans="1:5" ht="43.5" hidden="1" outlineLevel="1">
      <c r="A141" s="7" t="s">
        <v>141</v>
      </c>
      <c r="B141" s="8" t="s">
        <v>119</v>
      </c>
      <c r="C141" s="9" t="str" cm="1">
        <f t="array" ref="C14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4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41" s="10" t="s">
        <v>98</v>
      </c>
    </row>
    <row r="142" spans="1:5" ht="43.5" hidden="1" outlineLevel="1">
      <c r="A142" s="7" t="s">
        <v>142</v>
      </c>
      <c r="B142" s="8" t="s">
        <v>92</v>
      </c>
      <c r="C142" s="9" t="str" cm="1">
        <f t="array" ref="C14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4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42" s="10" t="s">
        <v>99</v>
      </c>
    </row>
    <row r="143" spans="1:5" ht="43.5" hidden="1" outlineLevel="1">
      <c r="A143" s="7" t="s">
        <v>143</v>
      </c>
      <c r="B143" s="8" t="e">
        <v>#VALUE!</v>
      </c>
      <c r="C143" s="9" t="e" cm="1">
        <f t="array" ref="C14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4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43" s="10" t="s">
        <v>100</v>
      </c>
    </row>
    <row r="144" spans="1:5" collapsed="1">
      <c r="A144" s="2"/>
      <c r="D144" t="b">
        <f>AND(UAdd_Tests[passing])</f>
        <v>1</v>
      </c>
    </row>
    <row r="145" spans="1:5" ht="15" thickBot="1"/>
    <row r="146" spans="1:5" ht="18.5">
      <c r="A146" s="5" t="s">
        <v>415</v>
      </c>
      <c r="B146" s="5"/>
      <c r="C146" s="5"/>
      <c r="D146" s="5"/>
      <c r="E146" s="5"/>
    </row>
    <row r="147" spans="1:5">
      <c r="A147" t="s">
        <v>107</v>
      </c>
      <c r="B147" t="s">
        <v>32</v>
      </c>
      <c r="C147" t="s">
        <v>33</v>
      </c>
      <c r="D147" s="6" t="s">
        <v>45</v>
      </c>
      <c r="E147" t="s">
        <v>34</v>
      </c>
    </row>
    <row r="148" spans="1:5" ht="29" hidden="1" outlineLevel="1">
      <c r="A148" s="12" t="s">
        <v>151</v>
      </c>
      <c r="B148" s="9">
        <v>0</v>
      </c>
      <c r="C148" s="9" cm="1">
        <f t="array" ref="C14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4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48" s="9" t="s">
        <v>108</v>
      </c>
    </row>
    <row r="149" spans="1:5" ht="29" hidden="1" outlineLevel="1">
      <c r="A149" s="12" t="s">
        <v>152</v>
      </c>
      <c r="B149" s="9">
        <v>1</v>
      </c>
      <c r="C149" s="9" cm="1">
        <f t="array" ref="C14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4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49" s="9" t="s">
        <v>114</v>
      </c>
    </row>
    <row r="150" spans="1:5" ht="29" hidden="1" outlineLevel="1">
      <c r="A150" s="12" t="s">
        <v>153</v>
      </c>
      <c r="B150" s="9">
        <v>-1</v>
      </c>
      <c r="C150" s="9" cm="1">
        <f t="array" ref="C15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5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50" s="9" t="s">
        <v>113</v>
      </c>
    </row>
    <row r="151" spans="1:5" ht="29" hidden="1" outlineLevel="1">
      <c r="A151" s="12" t="s">
        <v>154</v>
      </c>
      <c r="B151" s="9">
        <v>1</v>
      </c>
      <c r="C151" s="9" cm="1">
        <f t="array" ref="C15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5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51" s="9" t="s">
        <v>112</v>
      </c>
    </row>
    <row r="152" spans="1:5" ht="29" hidden="1" outlineLevel="1">
      <c r="A152" s="12" t="s">
        <v>155</v>
      </c>
      <c r="B152" s="9">
        <v>1</v>
      </c>
      <c r="C152" s="9" cm="1">
        <f t="array" ref="C15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5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52" s="9" t="s">
        <v>111</v>
      </c>
    </row>
    <row r="153" spans="1:5" ht="29" hidden="1" outlineLevel="1">
      <c r="A153" s="12" t="s">
        <v>156</v>
      </c>
      <c r="B153" s="9">
        <v>-1</v>
      </c>
      <c r="C153" s="9" cm="1">
        <f t="array" ref="C15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5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53" s="9" t="s">
        <v>110</v>
      </c>
    </row>
    <row r="154" spans="1:5" ht="29" hidden="1" outlineLevel="1">
      <c r="A154" s="12" t="s">
        <v>157</v>
      </c>
      <c r="B154" s="9">
        <v>0</v>
      </c>
      <c r="C154" s="9" cm="1">
        <f t="array" ref="C15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5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54" s="9" t="s">
        <v>109</v>
      </c>
    </row>
    <row r="155" spans="1:5" collapsed="1">
      <c r="D155" t="b">
        <f>AND(UCompare_Tests[passing])</f>
        <v>1</v>
      </c>
    </row>
    <row r="156" spans="1:5" ht="15" thickBot="1"/>
    <row r="157" spans="1:5" ht="18.5">
      <c r="A157" s="5" t="s">
        <v>416</v>
      </c>
      <c r="B157" s="5"/>
      <c r="C157" s="5"/>
      <c r="D157" s="5"/>
      <c r="E157" s="5"/>
    </row>
    <row r="158" spans="1:5">
      <c r="A158" t="s">
        <v>107</v>
      </c>
      <c r="B158" t="s">
        <v>32</v>
      </c>
      <c r="C158" t="s">
        <v>33</v>
      </c>
      <c r="D158" s="6" t="s">
        <v>45</v>
      </c>
      <c r="E158" t="s">
        <v>34</v>
      </c>
    </row>
    <row r="159" spans="1:5" ht="43.5" hidden="1" outlineLevel="1">
      <c r="A159" s="12" t="s">
        <v>144</v>
      </c>
      <c r="B159" s="9" t="s">
        <v>122</v>
      </c>
      <c r="C159" s="9" t="str" cm="1">
        <f t="array" ref="C15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5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59" s="9" t="s">
        <v>129</v>
      </c>
    </row>
    <row r="160" spans="1:5" ht="43.5" hidden="1" outlineLevel="1">
      <c r="A160" s="12" t="s">
        <v>145</v>
      </c>
      <c r="B160" s="9" t="s">
        <v>124</v>
      </c>
      <c r="C160" s="9" t="str" cm="1">
        <f t="array" ref="C16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6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0" s="9" t="s">
        <v>133</v>
      </c>
    </row>
    <row r="161" spans="1:5" ht="43.5" hidden="1" outlineLevel="1">
      <c r="A161" s="12" t="s">
        <v>146</v>
      </c>
      <c r="B161" s="9" t="s">
        <v>125</v>
      </c>
      <c r="C161" s="9" t="str" cm="1">
        <f t="array" ref="C16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6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1" s="9" t="s">
        <v>132</v>
      </c>
    </row>
    <row r="162" spans="1:5" ht="43.5" hidden="1" outlineLevel="1">
      <c r="A162" s="12" t="s">
        <v>147</v>
      </c>
      <c r="B162" s="9" t="s">
        <v>123</v>
      </c>
      <c r="C162" s="9" t="str" cm="1">
        <f t="array" ref="C16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6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2" s="9" t="s">
        <v>130</v>
      </c>
    </row>
    <row r="163" spans="1:5" ht="43.5" hidden="1" outlineLevel="1">
      <c r="A163" s="12" t="s">
        <v>148</v>
      </c>
      <c r="B163" s="9" t="s">
        <v>126</v>
      </c>
      <c r="C163" s="9" t="str" cm="1">
        <f t="array" ref="C16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6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3" s="9" t="s">
        <v>131</v>
      </c>
    </row>
    <row r="164" spans="1:5" ht="43.5" hidden="1" outlineLevel="1">
      <c r="A164" s="12" t="s">
        <v>149</v>
      </c>
      <c r="B164" s="9" t="s">
        <v>127</v>
      </c>
      <c r="C164" s="9" t="str" cm="1">
        <f t="array" ref="C16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6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4" s="9" t="s">
        <v>134</v>
      </c>
    </row>
    <row r="165" spans="1:5" ht="43.5" hidden="1" outlineLevel="1">
      <c r="A165" s="12" t="s">
        <v>150</v>
      </c>
      <c r="B165" s="9" t="s">
        <v>128</v>
      </c>
      <c r="C165" s="9" t="str" cm="1">
        <f t="array" ref="C16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6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65" s="9" t="s">
        <v>211</v>
      </c>
    </row>
    <row r="166" spans="1:5" collapsed="1">
      <c r="D166" t="b">
        <f>AND(USub_Tests[passing])</f>
        <v>1</v>
      </c>
    </row>
    <row r="167" spans="1:5" ht="15" thickBot="1"/>
    <row r="168" spans="1:5" ht="18.5">
      <c r="A168" s="5" t="s">
        <v>417</v>
      </c>
      <c r="B168" s="5"/>
      <c r="C168" s="5"/>
      <c r="D168" s="5"/>
      <c r="E168" s="5"/>
    </row>
    <row r="169" spans="1:5">
      <c r="A169" t="s">
        <v>107</v>
      </c>
      <c r="B169" t="s">
        <v>32</v>
      </c>
      <c r="C169" t="s">
        <v>33</v>
      </c>
      <c r="D169" s="6" t="s">
        <v>45</v>
      </c>
      <c r="E169" t="s">
        <v>34</v>
      </c>
    </row>
    <row r="170" spans="1:5" ht="72.5" hidden="1" outlineLevel="1">
      <c r="A170" s="12" t="s">
        <v>182</v>
      </c>
      <c r="B170" s="9" t="s">
        <v>187</v>
      </c>
      <c r="C170" s="9" t="str" cm="1">
        <f t="array" ref="C17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70" s="9" t="b">
        <f>IF(ISERROR(Table6[[#This Row],[expected]]),
    ERROR.TYPE(Table6[[#This Row],[expected]]) = ERROR.TYPE(Table6[[#This Row],[output]]),
    Table6[[#This Row],[expected]] = Table6[[#This Row],[output]]
)</f>
        <v>1</v>
      </c>
      <c r="E170" s="9" t="s">
        <v>201</v>
      </c>
    </row>
    <row r="171" spans="1:5" ht="72.5" hidden="1" outlineLevel="1">
      <c r="A171" s="12" t="s">
        <v>183</v>
      </c>
      <c r="B171" s="9" t="s">
        <v>188</v>
      </c>
      <c r="C171" s="9" t="str" cm="1">
        <f t="array" ref="C17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71" s="9" t="b">
        <f>IF(ISERROR(Table6[[#This Row],[expected]]),
    ERROR.TYPE(Table6[[#This Row],[expected]]) = ERROR.TYPE(Table6[[#This Row],[output]]),
    Table6[[#This Row],[expected]] = Table6[[#This Row],[output]]
)</f>
        <v>1</v>
      </c>
      <c r="E171" s="9" t="s">
        <v>202</v>
      </c>
    </row>
    <row r="172" spans="1:5" ht="72.5" hidden="1" outlineLevel="1">
      <c r="A172" s="12" t="s">
        <v>184</v>
      </c>
      <c r="B172" s="9" t="s">
        <v>189</v>
      </c>
      <c r="C172" s="9" t="str" cm="1">
        <f t="array" ref="C17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72" s="9" t="b">
        <f>IF(ISERROR(Table6[[#This Row],[expected]]),
    ERROR.TYPE(Table6[[#This Row],[expected]]) = ERROR.TYPE(Table6[[#This Row],[output]]),
    Table6[[#This Row],[expected]] = Table6[[#This Row],[output]]
)</f>
        <v>1</v>
      </c>
      <c r="E172" s="9" t="s">
        <v>203</v>
      </c>
    </row>
    <row r="173" spans="1:5" ht="72.5" hidden="1" outlineLevel="1">
      <c r="A173" s="12" t="s">
        <v>185</v>
      </c>
      <c r="B173" s="9" t="s">
        <v>190</v>
      </c>
      <c r="C173" s="9" t="str" cm="1">
        <f t="array" ref="C17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73" s="9" t="b">
        <f>IF(ISERROR(Table6[[#This Row],[expected]]),
    ERROR.TYPE(Table6[[#This Row],[expected]]) = ERROR.TYPE(Table6[[#This Row],[output]]),
    Table6[[#This Row],[expected]] = Table6[[#This Row],[output]]
)</f>
        <v>1</v>
      </c>
      <c r="E173" s="9" t="s">
        <v>204</v>
      </c>
    </row>
    <row r="174" spans="1:5" ht="72.5" hidden="1" outlineLevel="1">
      <c r="A174" s="12" t="s">
        <v>186</v>
      </c>
      <c r="B174" s="9" t="s">
        <v>191</v>
      </c>
      <c r="C174" s="9" t="str" cm="1">
        <f t="array" ref="C17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74" s="9" t="b">
        <f>IF(ISERROR(Table6[[#This Row],[expected]]),
    ERROR.TYPE(Table6[[#This Row],[expected]]) = ERROR.TYPE(Table6[[#This Row],[output]]),
    Table6[[#This Row],[expected]] = Table6[[#This Row],[output]]
)</f>
        <v>1</v>
      </c>
      <c r="E174" s="9" t="s">
        <v>205</v>
      </c>
    </row>
    <row r="175" spans="1:5" ht="72.5" hidden="1" outlineLevel="1">
      <c r="A175" s="12" t="s">
        <v>196</v>
      </c>
      <c r="B175" s="9" t="s">
        <v>192</v>
      </c>
      <c r="C175" s="9" t="str" cm="1">
        <f t="array" ref="C17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75" s="9" t="b">
        <f>IF(ISERROR(Table6[[#This Row],[expected]]),
    ERROR.TYPE(Table6[[#This Row],[expected]]) = ERROR.TYPE(Table6[[#This Row],[output]]),
    Table6[[#This Row],[expected]] = Table6[[#This Row],[output]]
)</f>
        <v>1</v>
      </c>
      <c r="E175" s="9" t="s">
        <v>206</v>
      </c>
    </row>
    <row r="176" spans="1:5" ht="72.5" hidden="1" outlineLevel="1">
      <c r="A176" s="12" t="s">
        <v>197</v>
      </c>
      <c r="B176" s="9" t="s">
        <v>193</v>
      </c>
      <c r="C176" s="9" t="str" cm="1">
        <f t="array" ref="C17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76" s="9" t="b">
        <f>IF(ISERROR(Table6[[#This Row],[expected]]),
    ERROR.TYPE(Table6[[#This Row],[expected]]) = ERROR.TYPE(Table6[[#This Row],[output]]),
    Table6[[#This Row],[expected]] = Table6[[#This Row],[output]]
)</f>
        <v>1</v>
      </c>
      <c r="E176" s="9" t="s">
        <v>208</v>
      </c>
    </row>
    <row r="177" spans="1:5" ht="72.5" hidden="1" outlineLevel="1">
      <c r="A177" s="12" t="s">
        <v>198</v>
      </c>
      <c r="B177" s="9" t="s">
        <v>191</v>
      </c>
      <c r="C177" s="9" t="str" cm="1">
        <f t="array" ref="C17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77" s="9" t="b">
        <f>IF(ISERROR(Table6[[#This Row],[expected]]),
    ERROR.TYPE(Table6[[#This Row],[expected]]) = ERROR.TYPE(Table6[[#This Row],[output]]),
    Table6[[#This Row],[expected]] = Table6[[#This Row],[output]]
)</f>
        <v>1</v>
      </c>
      <c r="E177" s="9" t="s">
        <v>207</v>
      </c>
    </row>
    <row r="178" spans="1:5" ht="72.5" hidden="1" outlineLevel="1">
      <c r="A178" s="12" t="s">
        <v>199</v>
      </c>
      <c r="B178" s="9" t="s">
        <v>194</v>
      </c>
      <c r="C178" s="9" t="str" cm="1">
        <f t="array" ref="C17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78" s="9" t="b">
        <f>IF(ISERROR(Table6[[#This Row],[expected]]),
    ERROR.TYPE(Table6[[#This Row],[expected]]) = ERROR.TYPE(Table6[[#This Row],[output]]),
    Table6[[#This Row],[expected]] = Table6[[#This Row],[output]]
)</f>
        <v>1</v>
      </c>
      <c r="E178" s="9" t="s">
        <v>209</v>
      </c>
    </row>
    <row r="179" spans="1:5" ht="72.5" hidden="1" outlineLevel="1">
      <c r="A179" s="12" t="s">
        <v>200</v>
      </c>
      <c r="B179" s="9" t="s">
        <v>195</v>
      </c>
      <c r="C179" s="9" t="str" cm="1">
        <f t="array" ref="C17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79" s="9" t="b">
        <f>IF(ISERROR(Table6[[#This Row],[expected]]),
    ERROR.TYPE(Table6[[#This Row],[expected]]) = ERROR.TYPE(Table6[[#This Row],[output]]),
    Table6[[#This Row],[expected]] = Table6[[#This Row],[output]]
)</f>
        <v>1</v>
      </c>
      <c r="E179" s="9" t="s">
        <v>210</v>
      </c>
    </row>
    <row r="180" spans="1:5" collapsed="1">
      <c r="A180" s="11"/>
      <c r="D180" s="9" t="b">
        <f>AND(Table6[passing])</f>
        <v>1</v>
      </c>
    </row>
    <row r="181" spans="1:5" ht="15" thickBot="1"/>
    <row r="182" spans="1:5" ht="18.5">
      <c r="A182" s="5" t="s">
        <v>429</v>
      </c>
      <c r="B182" s="5"/>
      <c r="C182" s="5"/>
      <c r="D182" s="5"/>
      <c r="E182" s="5"/>
    </row>
    <row r="183" spans="1:5">
      <c r="A183" t="s">
        <v>107</v>
      </c>
      <c r="B183" t="s">
        <v>32</v>
      </c>
      <c r="C183" t="s">
        <v>33</v>
      </c>
      <c r="D183" s="6" t="s">
        <v>45</v>
      </c>
      <c r="E183" t="s">
        <v>34</v>
      </c>
    </row>
    <row r="184" spans="1:5" ht="29" hidden="1" outlineLevel="1">
      <c r="A184" s="12" t="s">
        <v>223</v>
      </c>
      <c r="B184" s="8" t="s">
        <v>220</v>
      </c>
      <c r="C184" s="8" t="str" cm="1">
        <f t="array" ref="C184">_xlfn.LET(
    _xlpm.ab, _xlfn.REGEXEXTRACT(Add_Tests[[#This Row],[input]], "=\s*\{?\K[\w,; .-]*", 1),
    _xlpm.a, INDEX(_xlpm.ab,1,1),
    _xlpm.b, INDEX(_xlpm.ab,1,2),
    BigInt.Add(_xlpm.a, _xlpm.b)
)</f>
        <v>579</v>
      </c>
      <c r="D18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84" s="9" t="s">
        <v>212</v>
      </c>
    </row>
    <row r="185" spans="1:5" ht="29" hidden="1" outlineLevel="1">
      <c r="A185" s="12" t="s">
        <v>224</v>
      </c>
      <c r="B185" s="8" t="s">
        <v>221</v>
      </c>
      <c r="C185" s="8" t="str" cm="1">
        <f t="array" ref="C185">_xlfn.LET(
    _xlpm.ab, _xlfn.REGEXEXTRACT(Add_Tests[[#This Row],[input]], "=\s*\{?\K[\w,; .-]*", 1),
    _xlpm.a, INDEX(_xlpm.ab,1,1),
    _xlpm.b, INDEX(_xlpm.ab,1,2),
    BigInt.Add(_xlpm.a, _xlpm.b)
)</f>
        <v>-50</v>
      </c>
      <c r="D18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85" s="9" t="s">
        <v>213</v>
      </c>
    </row>
    <row r="186" spans="1:5" ht="29" hidden="1" outlineLevel="1">
      <c r="A186" s="12" t="s">
        <v>225</v>
      </c>
      <c r="B186" s="8" t="s">
        <v>222</v>
      </c>
      <c r="C186" s="8" t="str" cm="1">
        <f t="array" ref="C186">_xlfn.LET(
    _xlpm.ab, _xlfn.REGEXEXTRACT(Add_Tests[[#This Row],[input]], "=\s*\{?\K[\w,; .-]*", 1),
    _xlpm.a, INDEX(_xlpm.ab,1,1),
    _xlpm.b, INDEX(_xlpm.ab,1,2),
    BigInt.Add(_xlpm.a, _xlpm.b)
)</f>
        <v>1000000000000000</v>
      </c>
      <c r="D18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86" s="9" t="s">
        <v>214</v>
      </c>
    </row>
    <row r="187" spans="1:5" ht="29" hidden="1" outlineLevel="1">
      <c r="A187" s="12" t="s">
        <v>226</v>
      </c>
      <c r="B187" s="8" t="s">
        <v>4</v>
      </c>
      <c r="C187" s="8" t="str" cm="1">
        <f t="array" ref="C187">_xlfn.LET(
    _xlpm.ab, _xlfn.REGEXEXTRACT(Add_Tests[[#This Row],[input]], "=\s*\{?\K[\w,; .-]*", 1),
    _xlpm.a, INDEX(_xlpm.ab,1,1),
    _xlpm.b, INDEX(_xlpm.ab,1,2),
    BigInt.Add(_xlpm.a, _xlpm.b)
)</f>
        <v>0</v>
      </c>
      <c r="D18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87" s="9" t="s">
        <v>215</v>
      </c>
    </row>
    <row r="188" spans="1:5" ht="29" hidden="1" outlineLevel="1">
      <c r="A188" s="12" t="s">
        <v>227</v>
      </c>
      <c r="B188" s="9" t="e">
        <v>#VALUE!</v>
      </c>
      <c r="C188" s="9" t="e" cm="1">
        <f t="array" ref="C188">_xlfn.LET(
    _xlpm.ab, _xlfn.REGEXEXTRACT(Add_Tests[[#This Row],[input]], "=\s*\{?\K[\w,; .-]*", 1),
    _xlpm.a, INDEX(_xlpm.ab,1,1),
    _xlpm.b, INDEX(_xlpm.ab,1,2),
    BigInt.Add(_xlpm.a, _xlpm.b)
)</f>
        <v>#VALUE!</v>
      </c>
      <c r="D18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88" s="9" t="s">
        <v>216</v>
      </c>
    </row>
    <row r="189" spans="1:5" collapsed="1">
      <c r="D189" s="9" t="b">
        <f>AND(Add_Tests[passing])</f>
        <v>1</v>
      </c>
    </row>
    <row r="190" spans="1:5" ht="15" thickBot="1"/>
    <row r="191" spans="1:5" ht="18.5">
      <c r="A191" s="5" t="s">
        <v>430</v>
      </c>
      <c r="B191" s="5"/>
      <c r="C191" s="5"/>
      <c r="D191" s="5"/>
      <c r="E191" s="5"/>
    </row>
    <row r="192" spans="1:5">
      <c r="A192" t="s">
        <v>107</v>
      </c>
      <c r="B192" t="s">
        <v>32</v>
      </c>
      <c r="C192" t="s">
        <v>33</v>
      </c>
      <c r="D192" s="6" t="s">
        <v>45</v>
      </c>
      <c r="E192" t="s">
        <v>34</v>
      </c>
    </row>
    <row r="193" spans="1:5" ht="29" hidden="1" outlineLevel="1">
      <c r="A193" s="12" t="s">
        <v>228</v>
      </c>
      <c r="B193" s="8" t="s">
        <v>231</v>
      </c>
      <c r="C193" s="9" t="str" cm="1">
        <f t="array" ref="C193">_xlfn.LET(
    _xlpm.ab, _xlfn.REGEXEXTRACT(Sub_Tests[[#This Row],[input]], "=\s*\{?\K[\w,; .-]*", 1),
    _xlpm.a, INDEX(_xlpm.ab,1,1),
    _xlpm.b, INDEX(_xlpm.ab,1,2),
    BigInt.Sub(_xlpm.a, _xlpm.b)
)</f>
        <v>30</v>
      </c>
      <c r="D19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93" s="9" t="s">
        <v>217</v>
      </c>
    </row>
    <row r="194" spans="1:5" ht="29" hidden="1" outlineLevel="1">
      <c r="A194" s="12" t="s">
        <v>229</v>
      </c>
      <c r="B194" s="8" t="s">
        <v>232</v>
      </c>
      <c r="C194" s="9" t="str" cm="1">
        <f t="array" ref="C194">_xlfn.LET(
    _xlpm.ab, _xlfn.REGEXEXTRACT(Sub_Tests[[#This Row],[input]], "=\s*\{?\K[\w,; .-]*", 1),
    _xlpm.a, INDEX(_xlpm.ab,1,1),
    _xlpm.b, INDEX(_xlpm.ab,1,2),
    BigInt.Sub(_xlpm.a, _xlpm.b)
)</f>
        <v>999999999999999</v>
      </c>
      <c r="D19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94" s="9" t="s">
        <v>218</v>
      </c>
    </row>
    <row r="195" spans="1:5" ht="29" hidden="1" outlineLevel="1">
      <c r="A195" s="12" t="s">
        <v>230</v>
      </c>
      <c r="B195" s="8" t="s">
        <v>4</v>
      </c>
      <c r="C195" s="9" t="str" cm="1">
        <f t="array" ref="C195">_xlfn.LET(
    _xlpm.ab, _xlfn.REGEXEXTRACT(Sub_Tests[[#This Row],[input]], "=\s*\{?\K[\w,; .-]*", 1),
    _xlpm.a, INDEX(_xlpm.ab,1,1),
    _xlpm.b, INDEX(_xlpm.ab,1,2),
    BigInt.Sub(_xlpm.a, _xlpm.b)
)</f>
        <v>0</v>
      </c>
      <c r="D19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95" s="9" t="s">
        <v>219</v>
      </c>
    </row>
    <row r="196" spans="1:5" collapsed="1">
      <c r="D196" s="9" t="b">
        <f>AND(Sub_Tests[passing])</f>
        <v>1</v>
      </c>
    </row>
    <row r="197" spans="1:5" ht="15" thickBot="1"/>
    <row r="198" spans="1:5" ht="18.5">
      <c r="A198" s="5" t="s">
        <v>418</v>
      </c>
      <c r="B198" s="5"/>
      <c r="C198" s="5"/>
      <c r="D198" s="5"/>
      <c r="E198" s="5"/>
    </row>
    <row r="199" spans="1:5">
      <c r="A199" t="s">
        <v>107</v>
      </c>
      <c r="B199" t="s">
        <v>32</v>
      </c>
      <c r="C199" t="s">
        <v>33</v>
      </c>
      <c r="D199" s="6" t="s">
        <v>45</v>
      </c>
      <c r="E199" t="s">
        <v>34</v>
      </c>
    </row>
    <row r="200" spans="1:5" ht="29" hidden="1" outlineLevel="1">
      <c r="A200" s="12" t="s">
        <v>249</v>
      </c>
      <c r="B200" s="9" t="s">
        <v>251</v>
      </c>
      <c r="C20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20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200" s="9" t="s">
        <v>255</v>
      </c>
    </row>
    <row r="201" spans="1:5" ht="29" hidden="1" outlineLevel="1">
      <c r="A201" s="12" t="s">
        <v>248</v>
      </c>
      <c r="B201" s="9" t="s">
        <v>252</v>
      </c>
      <c r="C20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20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201" s="9" t="s">
        <v>253</v>
      </c>
    </row>
    <row r="202" spans="1:5" ht="29" hidden="1" outlineLevel="1">
      <c r="A202" s="12" t="s">
        <v>250</v>
      </c>
      <c r="B202" s="9" t="s">
        <v>252</v>
      </c>
      <c r="C20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20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202" s="9" t="s">
        <v>254</v>
      </c>
    </row>
    <row r="203" spans="1:5" collapsed="1">
      <c r="D203" s="9" t="b">
        <f>AND(Split_Tests[passing])</f>
        <v>1</v>
      </c>
    </row>
    <row r="204" spans="1:5" ht="15" thickBot="1"/>
    <row r="205" spans="1:5" ht="18.5">
      <c r="A205" s="5" t="s">
        <v>419</v>
      </c>
      <c r="B205" s="5"/>
      <c r="C205" s="5"/>
      <c r="D205" s="5"/>
      <c r="E205" s="5"/>
    </row>
    <row r="206" spans="1:5">
      <c r="A206" t="s">
        <v>107</v>
      </c>
      <c r="B206" t="s">
        <v>32</v>
      </c>
      <c r="C206" t="s">
        <v>33</v>
      </c>
      <c r="D206" s="6" t="s">
        <v>45</v>
      </c>
      <c r="E206" t="s">
        <v>34</v>
      </c>
    </row>
    <row r="207" spans="1:5" ht="29" hidden="1" outlineLevel="1">
      <c r="A207" s="12" t="s">
        <v>245</v>
      </c>
      <c r="B207" s="9" t="s">
        <v>233</v>
      </c>
      <c r="C20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20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207" s="9" t="s">
        <v>256</v>
      </c>
    </row>
    <row r="208" spans="1:5" ht="29" hidden="1" outlineLevel="1">
      <c r="A208" s="12" t="s">
        <v>244</v>
      </c>
      <c r="B208" s="9" t="s">
        <v>234</v>
      </c>
      <c r="C20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20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208" s="9" t="s">
        <v>257</v>
      </c>
    </row>
    <row r="209" spans="1:5" ht="29" hidden="1" outlineLevel="1">
      <c r="A209" s="12" t="s">
        <v>246</v>
      </c>
      <c r="B209" s="9" t="s">
        <v>235</v>
      </c>
      <c r="C20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20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209" s="9" t="s">
        <v>258</v>
      </c>
    </row>
    <row r="210" spans="1:5" ht="29" hidden="1" outlineLevel="1">
      <c r="A210" s="12" t="s">
        <v>247</v>
      </c>
      <c r="B210" s="9" t="s">
        <v>123</v>
      </c>
      <c r="C21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21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210" s="9" t="s">
        <v>259</v>
      </c>
    </row>
    <row r="211" spans="1:5" collapsed="1">
      <c r="D211" s="9" t="b">
        <f>AND(UMatrixSum_Tests[passing])</f>
        <v>1</v>
      </c>
    </row>
    <row r="212" spans="1:5" ht="15" thickBot="1"/>
    <row r="213" spans="1:5" ht="18.5">
      <c r="A213" s="5" t="s">
        <v>431</v>
      </c>
      <c r="B213" s="5"/>
      <c r="C213" s="5"/>
      <c r="D213" s="5"/>
      <c r="E213" s="5"/>
    </row>
    <row r="214" spans="1:5">
      <c r="A214" t="s">
        <v>107</v>
      </c>
      <c r="B214" t="s">
        <v>32</v>
      </c>
      <c r="C214" t="s">
        <v>33</v>
      </c>
      <c r="D214" s="6" t="s">
        <v>45</v>
      </c>
      <c r="E214" t="s">
        <v>34</v>
      </c>
    </row>
    <row r="215" spans="1:5" hidden="1" outlineLevel="1">
      <c r="A215" t="s">
        <v>236</v>
      </c>
      <c r="B215" s="2" t="s">
        <v>241</v>
      </c>
      <c r="C215" t="str" cm="1">
        <f t="array" ref="C215">_xlfn.LET(
    _xlpm.range, _xlfn.REGEXEXTRACT(Sum_Tests[[#This Row],[input]], "=\s*\{?\K[\w,; .-]*", 1),
    _xlpm.big_ints, IFERROR(_xlfn.TEXTSPLIT(INDEX(_xlpm.range,1,1), ",", ";"), ""),
    BigInt.Sum(_xlpm.big_ints)
)</f>
        <v>60</v>
      </c>
      <c r="D21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15" t="s">
        <v>261</v>
      </c>
    </row>
    <row r="216" spans="1:5" hidden="1" outlineLevel="1">
      <c r="A216" t="s">
        <v>237</v>
      </c>
      <c r="B216" s="2" t="s">
        <v>4</v>
      </c>
      <c r="C216" t="str" cm="1">
        <f t="array" ref="C216">_xlfn.LET(
    _xlpm.range, _xlfn.REGEXEXTRACT(Sum_Tests[[#This Row],[input]], "=\s*\{?\K[\w,; .-]*", 1),
    _xlpm.big_ints, IFERROR(_xlfn.TEXTSPLIT(INDEX(_xlpm.range,1,1), ",", ";"), ""),
    BigInt.Sum(_xlpm.big_ints)
)</f>
        <v>0</v>
      </c>
      <c r="D21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16" t="s">
        <v>262</v>
      </c>
    </row>
    <row r="217" spans="1:5" hidden="1" outlineLevel="1">
      <c r="A217" t="s">
        <v>238</v>
      </c>
      <c r="B217" s="2" t="s">
        <v>240</v>
      </c>
      <c r="C217" t="str" cm="1">
        <f t="array" ref="C217">_xlfn.LET(
    _xlpm.range, _xlfn.REGEXEXTRACT(Sum_Tests[[#This Row],[input]], "=\s*\{?\K[\w,; .-]*", 1),
    _xlpm.big_ints, IFERROR(_xlfn.TEXTSPLIT(INDEX(_xlpm.range,1,1), ",", ";"), ""),
    BigInt.Sum(_xlpm.big_ints)
)</f>
        <v>150</v>
      </c>
      <c r="D21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17" t="s">
        <v>263</v>
      </c>
    </row>
    <row r="218" spans="1:5" hidden="1" outlineLevel="1">
      <c r="A218" t="s">
        <v>242</v>
      </c>
      <c r="B218" s="2" t="s">
        <v>16</v>
      </c>
      <c r="C218" t="str" cm="1">
        <f t="array" ref="C218">_xlfn.LET(
    _xlpm.range, _xlfn.REGEXEXTRACT(Sum_Tests[[#This Row],[input]], "=\s*\{?\K[\w,; .-]*", 1),
    _xlpm.big_ints, IFERROR(_xlfn.TEXTSPLIT(INDEX(_xlpm.range,1,1), ",", ";"), ""),
    BigInt.Sum(_xlpm.big_ints)
)</f>
        <v>123</v>
      </c>
      <c r="D21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18" s="4" t="s">
        <v>264</v>
      </c>
    </row>
    <row r="219" spans="1:5" hidden="1" outlineLevel="1">
      <c r="A219" t="s">
        <v>243</v>
      </c>
      <c r="B219" s="2" t="s">
        <v>16</v>
      </c>
      <c r="C219" t="str" cm="1">
        <f t="array" ref="C219">_xlfn.LET(
    _xlpm.range, _xlfn.REGEXEXTRACT(Sum_Tests[[#This Row],[input]], "=\s*\{?\K[\w,; .-]*", 1),
    _xlpm.big_ints, IFERROR(_xlfn.TEXTSPLIT(INDEX(_xlpm.range,1,1), ",", ";"), ""),
    BigInt.Sum(_xlpm.big_ints)
)</f>
        <v>123</v>
      </c>
      <c r="D21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19" t="s">
        <v>265</v>
      </c>
    </row>
    <row r="220" spans="1:5" hidden="1" outlineLevel="1">
      <c r="A220" t="s">
        <v>266</v>
      </c>
      <c r="B220" s="2" t="s">
        <v>4</v>
      </c>
      <c r="C220" t="str" cm="1">
        <f t="array" ref="C220">_xlfn.LET(
    _xlpm.range, _xlfn.REGEXEXTRACT(Sum_Tests[[#This Row],[input]], "=\s*\{?\K[\w,; .-]*", 1),
    _xlpm.big_ints, IFERROR(_xlfn.TEXTSPLIT(INDEX(_xlpm.range,1,1), ",", ";"), ""),
    BigInt.Sum(_xlpm.big_ints)
)</f>
        <v>0</v>
      </c>
      <c r="D22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20" t="s">
        <v>267</v>
      </c>
    </row>
    <row r="221" spans="1:5" hidden="1" outlineLevel="1">
      <c r="A221" t="s">
        <v>239</v>
      </c>
      <c r="B221" t="e">
        <v>#VALUE!</v>
      </c>
      <c r="C221" t="e" cm="1">
        <f t="array" ref="C221">_xlfn.LET(
    _xlpm.range, _xlfn.REGEXEXTRACT(Sum_Tests[[#This Row],[input]], "=\s*\{?\K[\w,; .-]*", 1),
    _xlpm.big_ints, IFERROR(_xlfn.TEXTSPLIT(INDEX(_xlpm.range,1,1), ",", ";"), ""),
    BigInt.Sum(_xlpm.big_ints)
)</f>
        <v>#VALUE!</v>
      </c>
      <c r="D22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21" t="s">
        <v>260</v>
      </c>
    </row>
    <row r="222" spans="1:5" collapsed="1">
      <c r="D222" s="9" t="b">
        <f>AND(Sum_Tests[passing])</f>
        <v>1</v>
      </c>
    </row>
    <row r="223" spans="1:5" ht="15" thickBot="1"/>
    <row r="224" spans="1:5" ht="18.5">
      <c r="A224" s="5" t="s">
        <v>420</v>
      </c>
      <c r="B224" s="5"/>
      <c r="C224" s="5"/>
      <c r="D224" s="5"/>
      <c r="E224" s="5"/>
    </row>
    <row r="225" spans="1:5">
      <c r="A225" t="s">
        <v>107</v>
      </c>
      <c r="B225" t="s">
        <v>32</v>
      </c>
      <c r="C225" t="s">
        <v>33</v>
      </c>
      <c r="D225" s="6" t="s">
        <v>45</v>
      </c>
      <c r="E225" t="s">
        <v>34</v>
      </c>
    </row>
    <row r="226" spans="1:5" ht="43.5" hidden="1" outlineLevel="1">
      <c r="A226" s="12" t="s">
        <v>268</v>
      </c>
      <c r="B226" s="9" t="s">
        <v>273</v>
      </c>
      <c r="C226" s="9" t="str" cm="1">
        <f t="array" ref="C22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2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26" s="9" t="s">
        <v>287</v>
      </c>
    </row>
    <row r="227" spans="1:5" ht="43.5" hidden="1" outlineLevel="1">
      <c r="A227" s="12" t="s">
        <v>269</v>
      </c>
      <c r="B227" s="9" t="s">
        <v>274</v>
      </c>
      <c r="C227" s="9" t="str" cm="1">
        <f t="array" ref="C22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2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27" s="9" t="s">
        <v>288</v>
      </c>
    </row>
    <row r="228" spans="1:5" ht="43.5" hidden="1" outlineLevel="1">
      <c r="A228" s="12" t="s">
        <v>270</v>
      </c>
      <c r="B228" s="9" t="s">
        <v>275</v>
      </c>
      <c r="C228" s="9" t="str" cm="1">
        <f t="array" ref="C22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2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28" s="9" t="s">
        <v>289</v>
      </c>
    </row>
    <row r="229" spans="1:5" ht="43.5" hidden="1" outlineLevel="1">
      <c r="A229" s="12" t="s">
        <v>271</v>
      </c>
      <c r="B229" s="9" t="s">
        <v>276</v>
      </c>
      <c r="C229" s="9" t="str" cm="1">
        <f t="array" ref="C22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2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29" s="9" t="s">
        <v>290</v>
      </c>
    </row>
    <row r="230" spans="1:5" ht="43.5" hidden="1" outlineLevel="1">
      <c r="A230" s="12" t="s">
        <v>272</v>
      </c>
      <c r="B230" s="9" t="s">
        <v>88</v>
      </c>
      <c r="C230" s="9" t="str" cm="1">
        <f t="array" ref="C23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3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30" s="9" t="s">
        <v>291</v>
      </c>
    </row>
    <row r="231" spans="1:5" collapsed="1">
      <c r="D231" s="9" t="b">
        <f>AND(UMul_Tests[passing])</f>
        <v>1</v>
      </c>
    </row>
    <row r="232" spans="1:5" ht="15" thickBot="1"/>
    <row r="233" spans="1:5" ht="18.5">
      <c r="A233" s="5" t="s">
        <v>432</v>
      </c>
      <c r="B233" s="5"/>
      <c r="C233" s="5"/>
      <c r="D233" s="5"/>
      <c r="E233" s="5"/>
    </row>
    <row r="234" spans="1:5">
      <c r="A234" t="s">
        <v>107</v>
      </c>
      <c r="B234" t="s">
        <v>32</v>
      </c>
      <c r="C234" t="s">
        <v>33</v>
      </c>
      <c r="D234" s="6" t="s">
        <v>45</v>
      </c>
      <c r="E234" t="s">
        <v>34</v>
      </c>
    </row>
    <row r="235" spans="1:5" ht="29" hidden="1" outlineLevel="1">
      <c r="A235" s="12" t="s">
        <v>277</v>
      </c>
      <c r="B235" s="7" t="s">
        <v>284</v>
      </c>
      <c r="C235" s="12" t="str" cm="1">
        <f t="array" ref="C235">_xlfn.LET(
    _xlpm.ab, _xlfn.REGEXEXTRACT(Mul_Tests[[#This Row],[input]], "=\s*\{?\K[\w,; .-]*", 1),
    _xlpm.a, INDEX(_xlpm.ab,1,1),
    _xlpm.b, INDEX(_xlpm.ab,1,2),
    BigInt.Mul(_xlpm.a, _xlpm.b)
)</f>
        <v>998001</v>
      </c>
      <c r="D23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35" s="12" t="s">
        <v>292</v>
      </c>
    </row>
    <row r="236" spans="1:5" ht="29" hidden="1" outlineLevel="1">
      <c r="A236" s="12" t="s">
        <v>278</v>
      </c>
      <c r="B236" s="7" t="s">
        <v>285</v>
      </c>
      <c r="C236" s="12" t="str" cm="1">
        <f t="array" ref="C236">_xlfn.LET(
    _xlpm.ab, _xlfn.REGEXEXTRACT(Mul_Tests[[#This Row],[input]], "=\s*\{?\K[\w,; .-]*", 1),
    _xlpm.a, INDEX(_xlpm.ab,1,1),
    _xlpm.b, INDEX(_xlpm.ab,1,2),
    BigInt.Mul(_xlpm.a, _xlpm.b)
)</f>
        <v>-56088</v>
      </c>
      <c r="D23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36" s="12" t="s">
        <v>294</v>
      </c>
    </row>
    <row r="237" spans="1:5" ht="29" hidden="1" outlineLevel="1">
      <c r="A237" s="12" t="s">
        <v>279</v>
      </c>
      <c r="B237" s="7" t="s">
        <v>286</v>
      </c>
      <c r="C237" s="12" t="str" cm="1">
        <f t="array" ref="C237">_xlfn.LET(
    _xlpm.ab, _xlfn.REGEXEXTRACT(Mul_Tests[[#This Row],[input]], "=\s*\{?\K[\w,; .-]*", 1),
    _xlpm.a, INDEX(_xlpm.ab,1,1),
    _xlpm.b, INDEX(_xlpm.ab,1,2),
    BigInt.Mul(_xlpm.a, _xlpm.b)
)</f>
        <v>56088</v>
      </c>
      <c r="D23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37" s="12" t="s">
        <v>293</v>
      </c>
    </row>
    <row r="238" spans="1:5" ht="29" hidden="1" outlineLevel="1">
      <c r="A238" s="12" t="s">
        <v>280</v>
      </c>
      <c r="B238" s="7" t="s">
        <v>4</v>
      </c>
      <c r="C238" s="12" t="str" cm="1">
        <f t="array" ref="C238">_xlfn.LET(
    _xlpm.ab, _xlfn.REGEXEXTRACT(Mul_Tests[[#This Row],[input]], "=\s*\{?\K[\w,; .-]*", 1),
    _xlpm.a, INDEX(_xlpm.ab,1,1),
    _xlpm.b, INDEX(_xlpm.ab,1,2),
    BigInt.Mul(_xlpm.a, _xlpm.b)
)</f>
        <v>0</v>
      </c>
      <c r="D23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38" s="12" t="s">
        <v>295</v>
      </c>
    </row>
    <row r="239" spans="1:5" ht="29" hidden="1" outlineLevel="1">
      <c r="A239" s="12" t="s">
        <v>281</v>
      </c>
      <c r="B239" s="7" t="s">
        <v>283</v>
      </c>
      <c r="C239" s="12" t="str" cm="1">
        <f t="array" ref="C239">_xlfn.LET(
    _xlpm.ab, _xlfn.REGEXEXTRACT(Mul_Tests[[#This Row],[input]], "=\s*\{?\K[\w,; .-]*", 1),
    _xlpm.a, INDEX(_xlpm.ab,1,1),
    _xlpm.b, INDEX(_xlpm.ab,1,2),
    BigInt.Mul(_xlpm.a, _xlpm.b)
)</f>
        <v>999999999999999999</v>
      </c>
      <c r="D23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39" s="12" t="s">
        <v>296</v>
      </c>
    </row>
    <row r="240" spans="1:5" ht="29" hidden="1" outlineLevel="1">
      <c r="A240" s="12" t="s">
        <v>282</v>
      </c>
      <c r="B240" s="7" t="s">
        <v>4</v>
      </c>
      <c r="C240" s="12" t="str" cm="1">
        <f t="array" ref="C240">_xlfn.LET(
    _xlpm.ab, _xlfn.REGEXEXTRACT(Mul_Tests[[#This Row],[input]], "=\s*\{?\K[\w,; .-]*", 1),
    _xlpm.a, INDEX(_xlpm.ab,1,1),
    _xlpm.b, INDEX(_xlpm.ab,1,2),
    BigInt.Mul(_xlpm.a, _xlpm.b)
)</f>
        <v>0</v>
      </c>
      <c r="D24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40" s="12" t="s">
        <v>297</v>
      </c>
    </row>
    <row r="241" spans="1:5" collapsed="1">
      <c r="A241" s="12"/>
      <c r="B241" s="12"/>
      <c r="C241" s="12"/>
      <c r="D241" s="9" t="b">
        <f>AND(Mul_Tests[passing])</f>
        <v>1</v>
      </c>
      <c r="E241" s="12"/>
    </row>
    <row r="242" spans="1:5" ht="15" thickBot="1"/>
    <row r="243" spans="1:5" ht="18.5">
      <c r="A243" s="5" t="s">
        <v>421</v>
      </c>
      <c r="B243" s="5"/>
      <c r="C243" s="5"/>
      <c r="D243" s="5"/>
      <c r="E243" s="5"/>
    </row>
    <row r="244" spans="1:5">
      <c r="A244" t="s">
        <v>107</v>
      </c>
      <c r="B244" t="s">
        <v>32</v>
      </c>
      <c r="C244" t="s">
        <v>33</v>
      </c>
      <c r="D244" s="6" t="s">
        <v>45</v>
      </c>
      <c r="E244" t="s">
        <v>34</v>
      </c>
    </row>
    <row r="245" spans="1:5" ht="43.5" hidden="1" outlineLevel="1">
      <c r="A245" s="12" t="s">
        <v>298</v>
      </c>
      <c r="B245" s="9" t="s">
        <v>302</v>
      </c>
      <c r="C245" s="9" t="str" cm="1">
        <f t="array" ref="C24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4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45" s="9" t="s">
        <v>328</v>
      </c>
    </row>
    <row r="246" spans="1:5" ht="43.5" hidden="1" outlineLevel="1">
      <c r="A246" s="12" t="s">
        <v>310</v>
      </c>
      <c r="B246" s="9" t="s">
        <v>303</v>
      </c>
      <c r="C246" s="9" t="str" cm="1">
        <f t="array" ref="C24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4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46" s="9" t="s">
        <v>329</v>
      </c>
    </row>
    <row r="247" spans="1:5" ht="43.5" hidden="1" outlineLevel="1">
      <c r="A247" s="12" t="s">
        <v>299</v>
      </c>
      <c r="B247" s="9" t="s">
        <v>304</v>
      </c>
      <c r="C247" s="9" t="str" cm="1">
        <f t="array" ref="C24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4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47" s="9" t="s">
        <v>330</v>
      </c>
    </row>
    <row r="248" spans="1:5" ht="43.5" hidden="1" outlineLevel="1">
      <c r="A248" s="12" t="s">
        <v>271</v>
      </c>
      <c r="B248" s="9" t="s">
        <v>305</v>
      </c>
      <c r="C248" s="9" t="str" cm="1">
        <f t="array" ref="C24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4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48" s="9" t="s">
        <v>331</v>
      </c>
    </row>
    <row r="249" spans="1:5" ht="43.5" hidden="1" outlineLevel="1">
      <c r="A249" s="12" t="s">
        <v>300</v>
      </c>
      <c r="B249" s="9" t="s">
        <v>306</v>
      </c>
      <c r="C249" s="9" t="str" cm="1">
        <f t="array" ref="C24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4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49" s="9" t="s">
        <v>332</v>
      </c>
    </row>
    <row r="250" spans="1:5" ht="43.5" hidden="1" outlineLevel="1">
      <c r="A250" s="12" t="s">
        <v>301</v>
      </c>
      <c r="B250" s="9" t="s">
        <v>307</v>
      </c>
      <c r="C250" s="9" t="str" cm="1">
        <f t="array" ref="C25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5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50" s="9" t="s">
        <v>333</v>
      </c>
    </row>
    <row r="251" spans="1:5" ht="43.5" hidden="1" outlineLevel="1">
      <c r="A251" s="12" t="s">
        <v>311</v>
      </c>
      <c r="B251" s="9" t="s">
        <v>308</v>
      </c>
      <c r="C251" s="9" t="str" cm="1">
        <f t="array" ref="C25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5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51" s="9" t="s">
        <v>334</v>
      </c>
    </row>
    <row r="252" spans="1:5" ht="43.5" hidden="1" outlineLevel="1">
      <c r="A252" s="12" t="s">
        <v>312</v>
      </c>
      <c r="B252" s="9" t="s">
        <v>309</v>
      </c>
      <c r="C252" s="9" t="str" cm="1">
        <f t="array" ref="C25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5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52" s="9" t="s">
        <v>335</v>
      </c>
    </row>
    <row r="253" spans="1:5" collapsed="1">
      <c r="D253" s="9" t="b">
        <f>AND(KnuthDiv_Tests[passing])</f>
        <v>1</v>
      </c>
    </row>
    <row r="254" spans="1:5" ht="15" thickBot="1"/>
    <row r="255" spans="1:5" ht="18.5">
      <c r="A255" s="5" t="s">
        <v>433</v>
      </c>
      <c r="B255" s="5"/>
      <c r="C255" s="5"/>
      <c r="D255" s="5"/>
      <c r="E255" s="5"/>
    </row>
    <row r="256" spans="1:5">
      <c r="A256" t="s">
        <v>107</v>
      </c>
      <c r="B256" t="s">
        <v>32</v>
      </c>
      <c r="C256" t="s">
        <v>33</v>
      </c>
      <c r="D256" s="6" t="s">
        <v>45</v>
      </c>
      <c r="E256" t="s">
        <v>34</v>
      </c>
    </row>
    <row r="257" spans="1:5" ht="29" hidden="1" outlineLevel="1">
      <c r="A257" s="12" t="s">
        <v>318</v>
      </c>
      <c r="B257" s="8" t="s">
        <v>313</v>
      </c>
      <c r="C257" s="9" t="str" cm="1">
        <f t="array" ref="C257">_xlfn.LET(
    _xlpm.ab, _xlfn.REGEXEXTRACT(Div_Tests[[#This Row],[input]], "=\s*\{?\K[\w,; .-]*", 1),
    _xlpm.a, INDEX(_xlpm.ab,1,1),
    _xlpm.b, INDEX(_xlpm.ab,1,2),
    BigInt.Div(_xlpm.a, _xlpm.b)
)</f>
        <v>12</v>
      </c>
      <c r="D25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57" s="9" t="s">
        <v>337</v>
      </c>
    </row>
    <row r="258" spans="1:5" ht="29" hidden="1" outlineLevel="1">
      <c r="A258" s="12" t="s">
        <v>319</v>
      </c>
      <c r="B258" s="8" t="s">
        <v>314</v>
      </c>
      <c r="C258" s="9" t="str" cm="1">
        <f t="array" ref="C258">_xlfn.LET(
    _xlpm.ab, _xlfn.REGEXEXTRACT(Div_Tests[[#This Row],[input]], "=\s*\{?\K[\w,; .-]*", 1),
    _xlpm.a, INDEX(_xlpm.ab,1,1),
    _xlpm.b, INDEX(_xlpm.ab,1,2),
    BigInt.Div(_xlpm.a, _xlpm.b)
)</f>
        <v>3</v>
      </c>
      <c r="D25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58" s="9" t="s">
        <v>338</v>
      </c>
    </row>
    <row r="259" spans="1:5" ht="29" hidden="1" outlineLevel="1">
      <c r="A259" s="12" t="s">
        <v>320</v>
      </c>
      <c r="B259" s="8" t="s">
        <v>315</v>
      </c>
      <c r="C259" s="9" t="str" cm="1">
        <f t="array" ref="C259">_xlfn.LET(
    _xlpm.ab, _xlfn.REGEXEXTRACT(Div_Tests[[#This Row],[input]], "=\s*\{?\K[\w,; .-]*", 1),
    _xlpm.a, INDEX(_xlpm.ab,1,1),
    _xlpm.b, INDEX(_xlpm.ab,1,2),
    BigInt.Div(_xlpm.a, _xlpm.b)
)</f>
        <v>-33</v>
      </c>
      <c r="D25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59" s="9" t="s">
        <v>339</v>
      </c>
    </row>
    <row r="260" spans="1:5" ht="29" hidden="1" outlineLevel="1">
      <c r="A260" s="12" t="s">
        <v>321</v>
      </c>
      <c r="B260" s="8" t="s">
        <v>315</v>
      </c>
      <c r="C260" s="9" t="str" cm="1">
        <f t="array" ref="C260">_xlfn.LET(
    _xlpm.ab, _xlfn.REGEXEXTRACT(Div_Tests[[#This Row],[input]], "=\s*\{?\K[\w,; .-]*", 1),
    _xlpm.a, INDEX(_xlpm.ab,1,1),
    _xlpm.b, INDEX(_xlpm.ab,1,2),
    BigInt.Div(_xlpm.a, _xlpm.b)
)</f>
        <v>-33</v>
      </c>
      <c r="D26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0" s="9" t="s">
        <v>340</v>
      </c>
    </row>
    <row r="261" spans="1:5" ht="29" hidden="1" outlineLevel="1">
      <c r="A261" s="12" t="s">
        <v>322</v>
      </c>
      <c r="B261" s="8" t="s">
        <v>316</v>
      </c>
      <c r="C261" s="9" t="str" cm="1">
        <f t="array" ref="C261">_xlfn.LET(
    _xlpm.ab, _xlfn.REGEXEXTRACT(Div_Tests[[#This Row],[input]], "=\s*\{?\K[\w,; .-]*", 1),
    _xlpm.a, INDEX(_xlpm.ab,1,1),
    _xlpm.b, INDEX(_xlpm.ab,1,2),
    BigInt.Div(_xlpm.a, _xlpm.b)
)</f>
        <v>33</v>
      </c>
      <c r="D26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1" s="9" t="s">
        <v>341</v>
      </c>
    </row>
    <row r="262" spans="1:5" ht="29" hidden="1" outlineLevel="1">
      <c r="A262" s="12" t="s">
        <v>323</v>
      </c>
      <c r="B262" s="8" t="s">
        <v>4</v>
      </c>
      <c r="C262" s="9" t="str" cm="1">
        <f t="array" ref="C262">_xlfn.LET(
    _xlpm.ab, _xlfn.REGEXEXTRACT(Div_Tests[[#This Row],[input]], "=\s*\{?\K[\w,; .-]*", 1),
    _xlpm.a, INDEX(_xlpm.ab,1,1),
    _xlpm.b, INDEX(_xlpm.ab,1,2),
    BigInt.Div(_xlpm.a, _xlpm.b)
)</f>
        <v>0</v>
      </c>
      <c r="D26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2" s="9" t="s">
        <v>369</v>
      </c>
    </row>
    <row r="263" spans="1:5" ht="29" hidden="1" outlineLevel="1">
      <c r="A263" s="12" t="s">
        <v>324</v>
      </c>
      <c r="B263" s="8" t="s">
        <v>4</v>
      </c>
      <c r="C263" s="9" t="str" cm="1">
        <f t="array" ref="C263">_xlfn.LET(
    _xlpm.ab, _xlfn.REGEXEXTRACT(Div_Tests[[#This Row],[input]], "=\s*\{?\K[\w,; .-]*", 1),
    _xlpm.a, INDEX(_xlpm.ab,1,1),
    _xlpm.b, INDEX(_xlpm.ab,1,2),
    BigInt.Div(_xlpm.a, _xlpm.b)
)</f>
        <v>0</v>
      </c>
      <c r="D26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3" s="9" t="s">
        <v>342</v>
      </c>
    </row>
    <row r="264" spans="1:5" ht="29" hidden="1" outlineLevel="1">
      <c r="A264" s="12" t="s">
        <v>325</v>
      </c>
      <c r="B264" s="9" t="e">
        <v>#DIV/0!</v>
      </c>
      <c r="C264" s="9" t="e" cm="1">
        <f t="array" ref="C264">_xlfn.LET(
    _xlpm.ab, _xlfn.REGEXEXTRACT(Div_Tests[[#This Row],[input]], "=\s*\{?\K[\w,; .-]*", 1),
    _xlpm.a, INDEX(_xlpm.ab,1,1),
    _xlpm.b, INDEX(_xlpm.ab,1,2),
    BigInt.Div(_xlpm.a, _xlpm.b)
)</f>
        <v>#DIV/0!</v>
      </c>
      <c r="D26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4" s="9" t="s">
        <v>371</v>
      </c>
    </row>
    <row r="265" spans="1:5" ht="29" hidden="1" outlineLevel="1">
      <c r="A265" s="12" t="s">
        <v>326</v>
      </c>
      <c r="B265" s="8" t="s">
        <v>317</v>
      </c>
      <c r="C265" s="9" t="str" cm="1">
        <f t="array" ref="C265">_xlfn.LET(
    _xlpm.ab, _xlfn.REGEXEXTRACT(Div_Tests[[#This Row],[input]], "=\s*\{?\K[\w,; .-]*", 1),
    _xlpm.a, INDEX(_xlpm.ab,1,1),
    _xlpm.b, INDEX(_xlpm.ab,1,2),
    BigInt.Div(_xlpm.a, _xlpm.b)
)</f>
        <v>-12</v>
      </c>
      <c r="D26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5" s="9" t="s">
        <v>343</v>
      </c>
    </row>
    <row r="266" spans="1:5" ht="29" hidden="1" outlineLevel="1">
      <c r="A266" s="12" t="s">
        <v>327</v>
      </c>
      <c r="B266" s="8" t="s">
        <v>336</v>
      </c>
      <c r="C266" s="9" t="str" cm="1">
        <f t="array" ref="C266">_xlfn.LET(
    _xlpm.ab, _xlfn.REGEXEXTRACT(Div_Tests[[#This Row],[input]], "=\s*\{?\K[\w,; .-]*", 1),
    _xlpm.a, INDEX(_xlpm.ab,1,1),
    _xlpm.b, INDEX(_xlpm.ab,1,2),
    BigInt.Div(_xlpm.a, _xlpm.b)
)</f>
        <v>8000000080</v>
      </c>
      <c r="D26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66" s="9" t="s">
        <v>344</v>
      </c>
    </row>
    <row r="267" spans="1:5" collapsed="1">
      <c r="A267" s="12"/>
      <c r="B267" s="9"/>
      <c r="C267" s="9"/>
      <c r="D267" s="9" t="b">
        <f>AND(Div_Tests[passing])</f>
        <v>1</v>
      </c>
      <c r="E267" s="9"/>
    </row>
    <row r="268" spans="1:5" ht="14.5" customHeight="1" thickBot="1"/>
    <row r="269" spans="1:5" ht="18.5">
      <c r="A269" s="5" t="s">
        <v>434</v>
      </c>
      <c r="B269" s="5"/>
      <c r="C269" s="5"/>
      <c r="D269" s="5"/>
      <c r="E269" s="5"/>
    </row>
    <row r="270" spans="1:5">
      <c r="A270" t="s">
        <v>107</v>
      </c>
      <c r="B270" t="s">
        <v>32</v>
      </c>
      <c r="C270" t="s">
        <v>33</v>
      </c>
      <c r="D270" s="6" t="s">
        <v>45</v>
      </c>
      <c r="E270" t="s">
        <v>34</v>
      </c>
    </row>
    <row r="271" spans="1:5" ht="29" hidden="1" outlineLevel="1">
      <c r="A271" s="12" t="s">
        <v>318</v>
      </c>
      <c r="B271" s="8" t="s">
        <v>4</v>
      </c>
      <c r="C271" s="9" t="str" cm="1">
        <f t="array" ref="C271">_xlfn.LET(
    _xlpm.ab, _xlfn.REGEXEXTRACT(Mod_Tests[[#This Row],[input]], "=\s*\{?\K[\w,; .-]*", 1),
    _xlpm.a, INDEX(_xlpm.ab,1,1),
    _xlpm.b, INDEX(_xlpm.ab,1,2),
    BigInt.Mod(_xlpm.a, _xlpm.b)
)</f>
        <v>0</v>
      </c>
      <c r="D27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1" s="9" t="s">
        <v>358</v>
      </c>
    </row>
    <row r="272" spans="1:5" ht="29" hidden="1" outlineLevel="1">
      <c r="A272" s="12" t="s">
        <v>319</v>
      </c>
      <c r="B272" s="8" t="s">
        <v>345</v>
      </c>
      <c r="C272" s="9" t="str" cm="1">
        <f t="array" ref="C272">_xlfn.LET(
    _xlpm.ab, _xlfn.REGEXEXTRACT(Mod_Tests[[#This Row],[input]], "=\s*\{?\K[\w,; .-]*", 1),
    _xlpm.a, INDEX(_xlpm.ab,1,1),
    _xlpm.b, INDEX(_xlpm.ab,1,2),
    BigInt.Mod(_xlpm.a, _xlpm.b)
)</f>
        <v>4</v>
      </c>
      <c r="D27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2" s="9" t="s">
        <v>357</v>
      </c>
    </row>
    <row r="273" spans="1:5" ht="29" hidden="1" outlineLevel="1">
      <c r="A273" s="12" t="s">
        <v>320</v>
      </c>
      <c r="B273" s="8" t="s">
        <v>51</v>
      </c>
      <c r="C273" s="9" t="str" cm="1">
        <f t="array" ref="C273">_xlfn.LET(
    _xlpm.ab, _xlfn.REGEXEXTRACT(Mod_Tests[[#This Row],[input]], "=\s*\{?\K[\w,; .-]*", 1),
    _xlpm.a, INDEX(_xlpm.ab,1,1),
    _xlpm.b, INDEX(_xlpm.ab,1,2),
    BigInt.Mod(_xlpm.a, _xlpm.b)
)</f>
        <v>-1</v>
      </c>
      <c r="D27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3" s="9" t="s">
        <v>359</v>
      </c>
    </row>
    <row r="274" spans="1:5" ht="29" hidden="1" outlineLevel="1">
      <c r="A274" s="12" t="s">
        <v>321</v>
      </c>
      <c r="B274" s="8" t="s">
        <v>50</v>
      </c>
      <c r="C274" s="9" t="str" cm="1">
        <f t="array" ref="C274">_xlfn.LET(
    _xlpm.ab, _xlfn.REGEXEXTRACT(Mod_Tests[[#This Row],[input]], "=\s*\{?\K[\w,; .-]*", 1),
    _xlpm.a, INDEX(_xlpm.ab,1,1),
    _xlpm.b, INDEX(_xlpm.ab,1,2),
    BigInt.Mod(_xlpm.a, _xlpm.b)
)</f>
        <v>1</v>
      </c>
      <c r="D27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4" s="9" t="s">
        <v>360</v>
      </c>
    </row>
    <row r="275" spans="1:5" ht="29" hidden="1" outlineLevel="1">
      <c r="A275" s="12" t="s">
        <v>322</v>
      </c>
      <c r="B275" s="8" t="s">
        <v>51</v>
      </c>
      <c r="C275" s="9" t="str" cm="1">
        <f t="array" ref="C275">_xlfn.LET(
    _xlpm.ab, _xlfn.REGEXEXTRACT(Mod_Tests[[#This Row],[input]], "=\s*\{?\K[\w,; .-]*", 1),
    _xlpm.a, INDEX(_xlpm.ab,1,1),
    _xlpm.b, INDEX(_xlpm.ab,1,2),
    BigInt.Mod(_xlpm.a, _xlpm.b)
)</f>
        <v>-1</v>
      </c>
      <c r="D27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5" s="9" t="s">
        <v>361</v>
      </c>
    </row>
    <row r="276" spans="1:5" ht="29" hidden="1" outlineLevel="1">
      <c r="A276" s="12" t="s">
        <v>323</v>
      </c>
      <c r="B276" s="8" t="s">
        <v>46</v>
      </c>
      <c r="C276" s="9" t="str" cm="1">
        <f t="array" ref="C276">_xlfn.LET(
    _xlpm.ab, _xlfn.REGEXEXTRACT(Mod_Tests[[#This Row],[input]], "=\s*\{?\K[\w,; .-]*", 1),
    _xlpm.a, INDEX(_xlpm.ab,1,1),
    _xlpm.b, INDEX(_xlpm.ab,1,2),
    BigInt.Mod(_xlpm.a, _xlpm.b)
)</f>
        <v>5</v>
      </c>
      <c r="D27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6" s="9" t="s">
        <v>362</v>
      </c>
    </row>
    <row r="277" spans="1:5" ht="29" hidden="1" outlineLevel="1">
      <c r="A277" s="12" t="s">
        <v>324</v>
      </c>
      <c r="B277" s="8" t="s">
        <v>4</v>
      </c>
      <c r="C277" s="9" t="str" cm="1">
        <f t="array" ref="C277">_xlfn.LET(
    _xlpm.ab, _xlfn.REGEXEXTRACT(Mod_Tests[[#This Row],[input]], "=\s*\{?\K[\w,; .-]*", 1),
    _xlpm.a, INDEX(_xlpm.ab,1,1),
    _xlpm.b, INDEX(_xlpm.ab,1,2),
    BigInt.Mod(_xlpm.a, _xlpm.b)
)</f>
        <v>0</v>
      </c>
      <c r="D27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7" s="9" t="s">
        <v>342</v>
      </c>
    </row>
    <row r="278" spans="1:5" ht="29" hidden="1" outlineLevel="1">
      <c r="A278" s="12" t="s">
        <v>325</v>
      </c>
      <c r="B278" s="9" t="e">
        <v>#DIV/0!</v>
      </c>
      <c r="C278" s="9" t="e" cm="1">
        <f t="array" ref="C278">_xlfn.LET(
    _xlpm.ab, _xlfn.REGEXEXTRACT(Mod_Tests[[#This Row],[input]], "=\s*\{?\K[\w,; .-]*", 1),
    _xlpm.a, INDEX(_xlpm.ab,1,1),
    _xlpm.b, INDEX(_xlpm.ab,1,2),
    BigInt.Mod(_xlpm.a, _xlpm.b)
)</f>
        <v>#DIV/0!</v>
      </c>
      <c r="D27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8" s="9" t="s">
        <v>371</v>
      </c>
    </row>
    <row r="279" spans="1:5" ht="29" hidden="1" outlineLevel="1">
      <c r="A279" s="12" t="s">
        <v>363</v>
      </c>
      <c r="B279" s="8" t="s">
        <v>315</v>
      </c>
      <c r="C279" s="9" t="str" cm="1">
        <f t="array" ref="C279">_xlfn.LET(
    _xlpm.ab, _xlfn.REGEXEXTRACT(Mod_Tests[[#This Row],[input]], "=\s*\{?\K[\w,; .-]*", 1),
    _xlpm.a, INDEX(_xlpm.ab,1,1),
    _xlpm.b, INDEX(_xlpm.ab,1,2),
    BigInt.Mod(_xlpm.a, _xlpm.b)
)</f>
        <v>-33</v>
      </c>
      <c r="D27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79" s="9" t="s">
        <v>364</v>
      </c>
    </row>
    <row r="280" spans="1:5" ht="29" hidden="1" outlineLevel="1">
      <c r="A280" s="12" t="s">
        <v>327</v>
      </c>
      <c r="B280" s="8" t="s">
        <v>347</v>
      </c>
      <c r="C280" s="9" t="str" cm="1">
        <f t="array" ref="C280">_xlfn.LET(
    _xlpm.ab, _xlfn.REGEXEXTRACT(Mod_Tests[[#This Row],[input]], "=\s*\{?\K[\w,; .-]*", 1),
    _xlpm.a, INDEX(_xlpm.ab,1,1),
    _xlpm.b, INDEX(_xlpm.ab,1,2),
    BigInt.Mod(_xlpm.a, _xlpm.b)
)</f>
        <v>111111201</v>
      </c>
      <c r="D28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80" s="9" t="s">
        <v>344</v>
      </c>
    </row>
    <row r="281" spans="1:5" collapsed="1">
      <c r="A281" s="12"/>
      <c r="B281" s="9"/>
      <c r="C281" s="9"/>
      <c r="D281" s="9" t="b">
        <f>AND(Mod_Tests[passing])</f>
        <v>1</v>
      </c>
      <c r="E281" s="9"/>
    </row>
    <row r="282" spans="1:5" ht="15" thickBot="1"/>
    <row r="283" spans="1:5" ht="18.5">
      <c r="A283" s="5" t="s">
        <v>435</v>
      </c>
      <c r="B283" s="5"/>
      <c r="C283" s="5"/>
      <c r="D283" s="5"/>
      <c r="E283" s="5"/>
    </row>
    <row r="284" spans="1:5">
      <c r="A284" t="s">
        <v>107</v>
      </c>
      <c r="B284" t="s">
        <v>32</v>
      </c>
      <c r="C284" t="s">
        <v>33</v>
      </c>
      <c r="D284" s="6" t="s">
        <v>45</v>
      </c>
      <c r="E284" t="s">
        <v>34</v>
      </c>
    </row>
    <row r="285" spans="1:5" ht="43.5" hidden="1" outlineLevel="1">
      <c r="A285" s="12" t="s">
        <v>373</v>
      </c>
      <c r="B285" s="8" t="s">
        <v>348</v>
      </c>
      <c r="C28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8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85" s="9" t="s">
        <v>365</v>
      </c>
    </row>
    <row r="286" spans="1:5" ht="43.5" hidden="1" outlineLevel="1">
      <c r="A286" s="12" t="s">
        <v>374</v>
      </c>
      <c r="B286" s="8" t="s">
        <v>349</v>
      </c>
      <c r="C28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8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86" s="9" t="s">
        <v>366</v>
      </c>
    </row>
    <row r="287" spans="1:5" ht="43.5" hidden="1" outlineLevel="1">
      <c r="A287" s="12" t="s">
        <v>386</v>
      </c>
      <c r="B287" s="8" t="s">
        <v>349</v>
      </c>
      <c r="C28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8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87" s="9" t="s">
        <v>390</v>
      </c>
    </row>
    <row r="288" spans="1:5" ht="43.5" hidden="1" outlineLevel="1">
      <c r="A288" s="12" t="s">
        <v>388</v>
      </c>
      <c r="B288" s="8" t="s">
        <v>387</v>
      </c>
      <c r="C28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8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88" s="9" t="s">
        <v>389</v>
      </c>
    </row>
    <row r="289" spans="1:5" ht="43.5" hidden="1" outlineLevel="1">
      <c r="A289" s="12" t="s">
        <v>375</v>
      </c>
      <c r="B289" s="8" t="s">
        <v>350</v>
      </c>
      <c r="C28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8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89" s="9" t="s">
        <v>385</v>
      </c>
    </row>
    <row r="290" spans="1:5" ht="43.5" hidden="1" outlineLevel="1">
      <c r="A290" s="12" t="s">
        <v>383</v>
      </c>
      <c r="B290" s="8" t="s">
        <v>384</v>
      </c>
      <c r="C29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9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0" s="9" t="s">
        <v>391</v>
      </c>
    </row>
    <row r="291" spans="1:5" ht="43.5" hidden="1" outlineLevel="1">
      <c r="A291" s="12" t="s">
        <v>376</v>
      </c>
      <c r="B291" s="8" t="s">
        <v>351</v>
      </c>
      <c r="C29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9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1" s="9" t="s">
        <v>368</v>
      </c>
    </row>
    <row r="292" spans="1:5" ht="43.5" hidden="1" outlineLevel="1">
      <c r="A292" s="12" t="s">
        <v>383</v>
      </c>
      <c r="B292" s="8" t="s">
        <v>384</v>
      </c>
      <c r="C29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9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2" s="9" t="s">
        <v>392</v>
      </c>
    </row>
    <row r="293" spans="1:5" ht="43.5" hidden="1" outlineLevel="1">
      <c r="A293" s="12" t="s">
        <v>377</v>
      </c>
      <c r="B293" s="8" t="s">
        <v>352</v>
      </c>
      <c r="C29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9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3" s="9" t="s">
        <v>367</v>
      </c>
    </row>
    <row r="294" spans="1:5" ht="43.5" hidden="1" outlineLevel="1">
      <c r="A294" s="12" t="s">
        <v>393</v>
      </c>
      <c r="B294" s="8" t="s">
        <v>352</v>
      </c>
      <c r="C29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9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4" s="9" t="s">
        <v>394</v>
      </c>
    </row>
    <row r="295" spans="1:5" ht="43.5" hidden="1" outlineLevel="1">
      <c r="A295" s="12" t="s">
        <v>378</v>
      </c>
      <c r="B295" s="8" t="s">
        <v>353</v>
      </c>
      <c r="C29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9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5" s="9" t="s">
        <v>370</v>
      </c>
    </row>
    <row r="296" spans="1:5" ht="43.5" hidden="1" outlineLevel="1">
      <c r="A296" s="12" t="s">
        <v>379</v>
      </c>
      <c r="B296" s="8" t="s">
        <v>354</v>
      </c>
      <c r="C29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9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6" s="9" t="s">
        <v>342</v>
      </c>
    </row>
    <row r="297" spans="1:5" ht="43.5" hidden="1" outlineLevel="1">
      <c r="A297" s="12" t="s">
        <v>380</v>
      </c>
      <c r="B297" s="9" t="e">
        <v>#DIV/0!</v>
      </c>
      <c r="C29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9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7" s="9" t="s">
        <v>371</v>
      </c>
    </row>
    <row r="298" spans="1:5" ht="43.5" hidden="1" outlineLevel="1">
      <c r="A298" s="12" t="s">
        <v>381</v>
      </c>
      <c r="B298" s="8" t="s">
        <v>355</v>
      </c>
      <c r="C29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9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8" s="9" t="s">
        <v>372</v>
      </c>
    </row>
    <row r="299" spans="1:5" ht="43.5" hidden="1" outlineLevel="1">
      <c r="A299" s="12" t="s">
        <v>382</v>
      </c>
      <c r="B299" s="8" t="s">
        <v>356</v>
      </c>
      <c r="C29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9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99" s="9" t="s">
        <v>344</v>
      </c>
    </row>
    <row r="300" spans="1:5" collapsed="1">
      <c r="A300" s="12"/>
      <c r="B300" s="9"/>
      <c r="C300" s="9"/>
      <c r="D300" s="9" t="b">
        <f>AND(DivMod_Tests[passing])</f>
        <v>1</v>
      </c>
      <c r="E300" s="9"/>
    </row>
    <row r="301" spans="1:5" ht="15" thickBot="1"/>
    <row r="302" spans="1:5" ht="18.5">
      <c r="A302" s="5" t="s">
        <v>422</v>
      </c>
      <c r="B302" s="5"/>
      <c r="C302" s="5"/>
      <c r="D302" s="5"/>
      <c r="E302" s="5"/>
    </row>
    <row r="303" spans="1:5">
      <c r="A303" t="s">
        <v>107</v>
      </c>
      <c r="B303" t="s">
        <v>32</v>
      </c>
      <c r="C303" t="s">
        <v>33</v>
      </c>
      <c r="D303" t="s">
        <v>45</v>
      </c>
      <c r="E303" t="s">
        <v>34</v>
      </c>
    </row>
    <row r="304" spans="1:5" ht="29" hidden="1" outlineLevel="1">
      <c r="A304" s="12" t="s">
        <v>401</v>
      </c>
      <c r="B304" s="12" t="s">
        <v>406</v>
      </c>
      <c r="C304" s="12" t="str" cm="1">
        <f t="array" ref="C30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30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304" s="9" t="s">
        <v>396</v>
      </c>
    </row>
    <row r="305" spans="1:5" ht="29" hidden="1" outlineLevel="1">
      <c r="A305" s="12" t="s">
        <v>402</v>
      </c>
      <c r="B305" s="12" t="s">
        <v>407</v>
      </c>
      <c r="C305" s="12" t="str" cm="1">
        <f t="array" ref="C30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30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305" s="9" t="s">
        <v>397</v>
      </c>
    </row>
    <row r="306" spans="1:5" ht="29" hidden="1" outlineLevel="1">
      <c r="A306" s="12" t="s">
        <v>403</v>
      </c>
      <c r="B306" s="12" t="s">
        <v>410</v>
      </c>
      <c r="C306" s="12" t="str" cm="1">
        <f t="array" ref="C30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30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306" s="9" t="s">
        <v>398</v>
      </c>
    </row>
    <row r="307" spans="1:5" ht="29" hidden="1" outlineLevel="1">
      <c r="A307" s="12" t="s">
        <v>404</v>
      </c>
      <c r="B307" s="12" t="s">
        <v>408</v>
      </c>
      <c r="C307" s="12" t="str" cm="1">
        <f t="array" ref="C30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30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307" s="9" t="s">
        <v>399</v>
      </c>
    </row>
    <row r="308" spans="1:5" ht="29" hidden="1" outlineLevel="1">
      <c r="A308" s="12" t="s">
        <v>405</v>
      </c>
      <c r="B308" s="12" t="s">
        <v>409</v>
      </c>
      <c r="C308" s="12" t="str" cm="1">
        <f t="array" ref="C30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30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308" s="9" t="s">
        <v>400</v>
      </c>
    </row>
    <row r="309" spans="1:5" collapsed="1">
      <c r="D309" s="9" t="b">
        <f>AND(Table25[passing])</f>
        <v>1</v>
      </c>
    </row>
    <row r="310" spans="1:5" ht="15" thickBot="1"/>
    <row r="311" spans="1:5" ht="18.5">
      <c r="A311" s="5" t="s">
        <v>459</v>
      </c>
      <c r="B311" s="5"/>
      <c r="C311" s="5"/>
      <c r="D311" s="5"/>
      <c r="E311" s="5"/>
    </row>
    <row r="312" spans="1:5">
      <c r="A312" t="s">
        <v>107</v>
      </c>
      <c r="B312" t="s">
        <v>32</v>
      </c>
      <c r="C312" t="s">
        <v>33</v>
      </c>
      <c r="D312" s="6" t="s">
        <v>45</v>
      </c>
      <c r="E312" t="s">
        <v>34</v>
      </c>
    </row>
    <row r="313" spans="1:5" hidden="1" outlineLevel="1">
      <c r="A313" s="2" t="s">
        <v>4</v>
      </c>
      <c r="B313" t="b">
        <v>1</v>
      </c>
      <c r="C313" t="b" cm="1">
        <f t="array" ref="C313">BigInt.IsEven(IsEven_Tests[[#This Row],[input]])</f>
        <v>1</v>
      </c>
      <c r="D31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3" t="s">
        <v>469</v>
      </c>
    </row>
    <row r="314" spans="1:5" hidden="1" outlineLevel="1">
      <c r="A314" s="2" t="s">
        <v>462</v>
      </c>
      <c r="B314" t="b">
        <v>1</v>
      </c>
      <c r="C314" t="b" cm="1">
        <f t="array" ref="C314">BigInt.IsEven(IsEven_Tests[[#This Row],[input]])</f>
        <v>1</v>
      </c>
      <c r="D31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4" t="s">
        <v>467</v>
      </c>
    </row>
    <row r="315" spans="1:5" hidden="1" outlineLevel="1">
      <c r="A315" s="2" t="s">
        <v>463</v>
      </c>
      <c r="B315" t="b">
        <v>0</v>
      </c>
      <c r="C315" t="b" cm="1">
        <f t="array" ref="C315">BigInt.IsEven(IsEven_Tests[[#This Row],[input]])</f>
        <v>0</v>
      </c>
      <c r="D31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5" t="s">
        <v>468</v>
      </c>
    </row>
    <row r="316" spans="1:5" hidden="1" outlineLevel="1">
      <c r="A316" s="2" t="s">
        <v>464</v>
      </c>
      <c r="B316" t="b">
        <v>1</v>
      </c>
      <c r="C316" t="b" cm="1">
        <f t="array" ref="C316">BigInt.IsEven(IsEven_Tests[[#This Row],[input]])</f>
        <v>1</v>
      </c>
      <c r="D31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6" t="s">
        <v>470</v>
      </c>
    </row>
    <row r="317" spans="1:5" hidden="1" outlineLevel="1">
      <c r="A317" t="s">
        <v>465</v>
      </c>
      <c r="B317" t="b">
        <v>0</v>
      </c>
      <c r="C317" t="b" cm="1">
        <f t="array" ref="C317">BigInt.IsEven(IsEven_Tests[[#This Row],[input]])</f>
        <v>0</v>
      </c>
      <c r="D31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7" t="s">
        <v>471</v>
      </c>
    </row>
    <row r="318" spans="1:5" hidden="1" outlineLevel="1">
      <c r="A318" s="2" t="s">
        <v>466</v>
      </c>
      <c r="B318" t="b">
        <v>1</v>
      </c>
      <c r="C318" t="b" cm="1">
        <f t="array" ref="C318">BigInt.IsEven(IsEven_Tests[[#This Row],[input]])</f>
        <v>1</v>
      </c>
      <c r="D31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8" t="s">
        <v>472</v>
      </c>
    </row>
    <row r="319" spans="1:5" hidden="1" outlineLevel="1">
      <c r="A319" s="2"/>
      <c r="B319" t="b">
        <v>1</v>
      </c>
      <c r="C319" t="b" cm="1">
        <f t="array" ref="C319">BigInt.IsEven(IsEven_Tests[[#This Row],[input]])</f>
        <v>1</v>
      </c>
      <c r="D31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19" t="s">
        <v>473</v>
      </c>
    </row>
    <row r="320" spans="1:5" hidden="1" outlineLevel="1">
      <c r="A320" s="2" t="s">
        <v>6</v>
      </c>
      <c r="B320" t="b">
        <v>1</v>
      </c>
      <c r="C320" t="b" cm="1">
        <f t="array" ref="C320">BigInt.IsEven(IsEven_Tests[[#This Row],[input]])</f>
        <v>1</v>
      </c>
      <c r="D32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20" t="s">
        <v>474</v>
      </c>
    </row>
    <row r="321" spans="1:5" collapsed="1">
      <c r="A321" s="2"/>
      <c r="D321" t="b">
        <f>AND(IsEven_Tests[passing])</f>
        <v>1</v>
      </c>
    </row>
    <row r="322" spans="1:5" ht="15" thickBot="1"/>
    <row r="323" spans="1:5" ht="18.5">
      <c r="A323" s="5" t="s">
        <v>460</v>
      </c>
      <c r="B323" s="5"/>
      <c r="C323" s="5"/>
      <c r="D323" s="5"/>
      <c r="E323" s="5"/>
    </row>
    <row r="324" spans="1:5">
      <c r="A324" t="s">
        <v>107</v>
      </c>
      <c r="B324" t="s">
        <v>32</v>
      </c>
      <c r="C324" t="s">
        <v>33</v>
      </c>
      <c r="D324" s="6" t="s">
        <v>45</v>
      </c>
      <c r="E324" t="s">
        <v>34</v>
      </c>
    </row>
    <row r="325" spans="1:5" hidden="1" outlineLevel="1">
      <c r="A325" s="2" t="s">
        <v>4</v>
      </c>
      <c r="B325" t="b">
        <v>0</v>
      </c>
      <c r="C325" t="b" cm="1">
        <f t="array" ref="C325">BigInt.IsOdd(IsOdd_Tests[[#This Row],[input]])</f>
        <v>0</v>
      </c>
      <c r="D32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25" s="4" t="s">
        <v>475</v>
      </c>
    </row>
    <row r="326" spans="1:5" hidden="1" outlineLevel="1">
      <c r="A326" s="2" t="s">
        <v>462</v>
      </c>
      <c r="B326" t="b">
        <v>0</v>
      </c>
      <c r="C326" t="b" cm="1">
        <f t="array" ref="C326">BigInt.IsOdd(IsOdd_Tests[[#This Row],[input]])</f>
        <v>0</v>
      </c>
      <c r="D32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26" s="4" t="s">
        <v>476</v>
      </c>
    </row>
    <row r="327" spans="1:5" hidden="1" outlineLevel="1">
      <c r="A327" s="2" t="s">
        <v>463</v>
      </c>
      <c r="B327" t="b">
        <v>1</v>
      </c>
      <c r="C327" t="b" cm="1">
        <f t="array" ref="C327">BigInt.IsOdd(IsOdd_Tests[[#This Row],[input]])</f>
        <v>1</v>
      </c>
      <c r="D32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27" s="4" t="s">
        <v>477</v>
      </c>
    </row>
    <row r="328" spans="1:5" hidden="1" outlineLevel="1">
      <c r="A328" s="2" t="s">
        <v>464</v>
      </c>
      <c r="B328" t="b">
        <v>0</v>
      </c>
      <c r="C328" t="b" cm="1">
        <f t="array" ref="C328">BigInt.IsOdd(IsOdd_Tests[[#This Row],[input]])</f>
        <v>0</v>
      </c>
      <c r="D32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28" s="4" t="s">
        <v>478</v>
      </c>
    </row>
    <row r="329" spans="1:5" hidden="1" outlineLevel="1">
      <c r="A329" t="s">
        <v>465</v>
      </c>
      <c r="B329" t="b">
        <v>1</v>
      </c>
      <c r="C329" t="b" cm="1">
        <f t="array" ref="C329">BigInt.IsOdd(IsOdd_Tests[[#This Row],[input]])</f>
        <v>1</v>
      </c>
      <c r="D32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29" s="4" t="s">
        <v>479</v>
      </c>
    </row>
    <row r="330" spans="1:5" hidden="1" outlineLevel="1">
      <c r="A330" s="2" t="s">
        <v>466</v>
      </c>
      <c r="B330" t="b">
        <v>0</v>
      </c>
      <c r="C330" t="b" cm="1">
        <f t="array" ref="C330">BigInt.IsOdd(IsOdd_Tests[[#This Row],[input]])</f>
        <v>0</v>
      </c>
      <c r="D33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30" s="4" t="s">
        <v>480</v>
      </c>
    </row>
    <row r="331" spans="1:5" hidden="1" outlineLevel="1">
      <c r="A331" s="2"/>
      <c r="B331" t="b">
        <v>0</v>
      </c>
      <c r="C331" t="b" cm="1">
        <f t="array" ref="C331">BigInt.IsOdd(IsOdd_Tests[[#This Row],[input]])</f>
        <v>0</v>
      </c>
      <c r="D33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31" s="4" t="s">
        <v>481</v>
      </c>
    </row>
    <row r="332" spans="1:5" hidden="1" outlineLevel="1">
      <c r="A332" s="2" t="s">
        <v>6</v>
      </c>
      <c r="B332" t="b">
        <v>0</v>
      </c>
      <c r="C332" t="b" cm="1">
        <f t="array" ref="C332">BigInt.IsOdd(IsOdd_Tests[[#This Row],[input]])</f>
        <v>0</v>
      </c>
      <c r="D33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32" s="4" t="s">
        <v>482</v>
      </c>
    </row>
    <row r="333" spans="1:5" collapsed="1">
      <c r="A333" s="2"/>
      <c r="D333" t="b">
        <f>AND(IsOdd_Tests[passing])</f>
        <v>1</v>
      </c>
    </row>
    <row r="334" spans="1:5" ht="15" thickBot="1"/>
    <row r="335" spans="1:5" ht="18.5">
      <c r="A335" s="5" t="s">
        <v>500</v>
      </c>
      <c r="B335" s="5"/>
      <c r="C335" s="5"/>
      <c r="D335" s="5"/>
      <c r="E335" s="5"/>
    </row>
    <row r="336" spans="1:5">
      <c r="A336" t="s">
        <v>107</v>
      </c>
      <c r="B336" t="s">
        <v>32</v>
      </c>
      <c r="C336" t="s">
        <v>33</v>
      </c>
      <c r="D336" t="s">
        <v>45</v>
      </c>
      <c r="E336" t="s">
        <v>34</v>
      </c>
    </row>
    <row r="337" spans="1:5" ht="43.5" hidden="1" outlineLevel="1">
      <c r="A337" s="7" t="s">
        <v>523</v>
      </c>
      <c r="B337" s="9" t="s">
        <v>501</v>
      </c>
      <c r="C337" s="9" t="str" cm="1">
        <f t="array" ref="C33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3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37" s="9" t="s">
        <v>532</v>
      </c>
    </row>
    <row r="338" spans="1:5" ht="43.5" hidden="1" outlineLevel="1">
      <c r="A338" s="7" t="s">
        <v>522</v>
      </c>
      <c r="B338" s="8" t="s">
        <v>126</v>
      </c>
      <c r="C338" s="9" t="str" cm="1">
        <f t="array" ref="C33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3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38" s="9" t="s">
        <v>531</v>
      </c>
    </row>
    <row r="339" spans="1:5" ht="43.5" hidden="1" outlineLevel="1">
      <c r="A339" s="7" t="s">
        <v>509</v>
      </c>
      <c r="B339" s="8" t="s">
        <v>502</v>
      </c>
      <c r="C339" s="9" t="str" cm="1">
        <f t="array" ref="C33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3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39" s="9" t="s">
        <v>526</v>
      </c>
    </row>
    <row r="340" spans="1:5" ht="43.5" hidden="1" outlineLevel="1">
      <c r="A340" s="7" t="s">
        <v>508</v>
      </c>
      <c r="B340" s="8" t="s">
        <v>503</v>
      </c>
      <c r="C340" s="9" t="str" cm="1">
        <f t="array" ref="C34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4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40" s="9" t="s">
        <v>530</v>
      </c>
    </row>
    <row r="341" spans="1:5" ht="43.5" hidden="1" outlineLevel="1">
      <c r="A341" s="7" t="s">
        <v>507</v>
      </c>
      <c r="B341" s="8" t="s">
        <v>275</v>
      </c>
      <c r="C341" s="9" t="str" cm="1">
        <f t="array" ref="C34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4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41" s="9" t="s">
        <v>529</v>
      </c>
    </row>
    <row r="342" spans="1:5" ht="43.5" hidden="1" outlineLevel="1">
      <c r="A342" s="7" t="s">
        <v>506</v>
      </c>
      <c r="B342" s="8" t="s">
        <v>273</v>
      </c>
      <c r="C342" s="9" t="str" cm="1">
        <f t="array" ref="C34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4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42" s="9" t="s">
        <v>528</v>
      </c>
    </row>
    <row r="343" spans="1:5" ht="43.5" hidden="1" outlineLevel="1">
      <c r="A343" s="7" t="s">
        <v>505</v>
      </c>
      <c r="B343" s="8" t="s">
        <v>504</v>
      </c>
      <c r="C343" s="9" t="str" cm="1">
        <f t="array" ref="C34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4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43" s="9" t="s">
        <v>527</v>
      </c>
    </row>
    <row r="344" spans="1:5" collapsed="1">
      <c r="A344" s="2"/>
      <c r="D344" t="b">
        <f>AND(UPow_Tests[passing])</f>
        <v>1</v>
      </c>
    </row>
    <row r="345" spans="1:5" ht="15" thickBot="1"/>
    <row r="346" spans="1:5" ht="18.5">
      <c r="A346" s="5" t="s">
        <v>483</v>
      </c>
      <c r="B346" s="5"/>
      <c r="C346" s="5"/>
      <c r="D346" s="5"/>
      <c r="E346" s="5"/>
    </row>
    <row r="347" spans="1:5">
      <c r="A347" t="s">
        <v>107</v>
      </c>
      <c r="B347" t="s">
        <v>32</v>
      </c>
      <c r="C347" t="s">
        <v>33</v>
      </c>
      <c r="D347" t="s">
        <v>45</v>
      </c>
      <c r="E347" t="s">
        <v>34</v>
      </c>
    </row>
    <row r="348" spans="1:5" ht="29" hidden="1" outlineLevel="1">
      <c r="A348" s="7" t="s">
        <v>510</v>
      </c>
      <c r="B348" s="9" t="e">
        <v>#NUM!</v>
      </c>
      <c r="C348" s="9" t="e" cm="1">
        <f t="array" ref="C348">_xlfn.LET(
    _xlpm.ab, _xlfn.REGEXEXTRACT(Pow_Tests[[#This Row],[input]], "=\s*\{?\K[\w,; .-]*", 1),
    _xlpm.a, INDEX(_xlpm.ab, 1, 1),
    _xlpm.b, INDEX(_xlpm.ab, 1, 2),
    BigInt.Pow(_xlpm.a, _xlpm.b)
)</f>
        <v>#NUM!</v>
      </c>
      <c r="D34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8" s="9" t="s">
        <v>488</v>
      </c>
    </row>
    <row r="349" spans="1:5" ht="29" hidden="1" outlineLevel="1">
      <c r="A349" s="7" t="s">
        <v>511</v>
      </c>
      <c r="B349" s="8" t="s">
        <v>4</v>
      </c>
      <c r="C349" s="9" t="str" cm="1">
        <f t="array" ref="C349">_xlfn.LET(
    _xlpm.ab, _xlfn.REGEXEXTRACT(Pow_Tests[[#This Row],[input]], "=\s*\{?\K[\w,; .-]*", 1),
    _xlpm.a, INDEX(_xlpm.ab, 1, 1),
    _xlpm.b, INDEX(_xlpm.ab, 1, 2),
    BigInt.Pow(_xlpm.a, _xlpm.b)
)</f>
        <v>0</v>
      </c>
      <c r="D34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9" s="9" t="s">
        <v>489</v>
      </c>
    </row>
    <row r="350" spans="1:5" ht="29" hidden="1" outlineLevel="1">
      <c r="A350" s="7" t="s">
        <v>512</v>
      </c>
      <c r="B350" s="8" t="s">
        <v>50</v>
      </c>
      <c r="C350" s="9" t="str" cm="1">
        <f t="array" ref="C350">_xlfn.LET(
    _xlpm.ab, _xlfn.REGEXEXTRACT(Pow_Tests[[#This Row],[input]], "=\s*\{?\K[\w,; .-]*", 1),
    _xlpm.a, INDEX(_xlpm.ab, 1, 1),
    _xlpm.b, INDEX(_xlpm.ab, 1, 2),
    BigInt.Pow(_xlpm.a, _xlpm.b)
)</f>
        <v>1</v>
      </c>
      <c r="D35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0" s="9" t="s">
        <v>491</v>
      </c>
    </row>
    <row r="351" spans="1:5" ht="29" hidden="1" outlineLevel="1">
      <c r="A351" s="7" t="s">
        <v>513</v>
      </c>
      <c r="B351" s="8" t="s">
        <v>50</v>
      </c>
      <c r="C351" s="9" t="str" cm="1">
        <f t="array" ref="C351">_xlfn.LET(
    _xlpm.ab, _xlfn.REGEXEXTRACT(Pow_Tests[[#This Row],[input]], "=\s*\{?\K[\w,; .-]*", 1),
    _xlpm.a, INDEX(_xlpm.ab, 1, 1),
    _xlpm.b, INDEX(_xlpm.ab, 1, 2),
    BigInt.Pow(_xlpm.a, _xlpm.b)
)</f>
        <v>1</v>
      </c>
      <c r="D35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1" s="9" t="s">
        <v>492</v>
      </c>
    </row>
    <row r="352" spans="1:5" ht="29" hidden="1" outlineLevel="1">
      <c r="A352" s="7" t="s">
        <v>514</v>
      </c>
      <c r="B352" s="8" t="s">
        <v>51</v>
      </c>
      <c r="C352" s="9" t="str" cm="1">
        <f t="array" ref="C352">_xlfn.LET(
    _xlpm.ab, _xlfn.REGEXEXTRACT(Pow_Tests[[#This Row],[input]], "=\s*\{?\K[\w,; .-]*", 1),
    _xlpm.a, INDEX(_xlpm.ab, 1, 1),
    _xlpm.b, INDEX(_xlpm.ab, 1, 2),
    BigInt.Pow(_xlpm.a, _xlpm.b)
)</f>
        <v>-1</v>
      </c>
      <c r="D35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2" s="9" t="s">
        <v>490</v>
      </c>
    </row>
    <row r="353" spans="1:5" ht="29" hidden="1" outlineLevel="1">
      <c r="A353" s="7" t="s">
        <v>515</v>
      </c>
      <c r="B353" s="8" t="s">
        <v>50</v>
      </c>
      <c r="C353" s="9" t="str" cm="1">
        <f t="array" ref="C353">_xlfn.LET(
    _xlpm.ab, _xlfn.REGEXEXTRACT(Pow_Tests[[#This Row],[input]], "=\s*\{?\K[\w,; .-]*", 1),
    _xlpm.a, INDEX(_xlpm.ab, 1, 1),
    _xlpm.b, INDEX(_xlpm.ab, 1, 2),
    BigInt.Pow(_xlpm.a, _xlpm.b)
)</f>
        <v>1</v>
      </c>
      <c r="D35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3" s="9" t="s">
        <v>493</v>
      </c>
    </row>
    <row r="354" spans="1:5" ht="29" hidden="1" outlineLevel="1">
      <c r="A354" s="7" t="s">
        <v>524</v>
      </c>
      <c r="B354" s="8" t="s">
        <v>461</v>
      </c>
      <c r="C354" s="9" t="str" cm="1">
        <f t="array" ref="C354">_xlfn.LET(
    _xlpm.ab, _xlfn.REGEXEXTRACT(Pow_Tests[[#This Row],[input]], "=\s*\{?\K[\w,; .-]*", 1),
    _xlpm.a, INDEX(_xlpm.ab, 1, 1),
    _xlpm.b, INDEX(_xlpm.ab, 1, 2),
    BigInt.Pow(_xlpm.a, _xlpm.b)
)</f>
        <v>2</v>
      </c>
      <c r="D35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4" s="9" t="s">
        <v>525</v>
      </c>
    </row>
    <row r="355" spans="1:5" ht="29" hidden="1" outlineLevel="1">
      <c r="A355" s="7" t="s">
        <v>516</v>
      </c>
      <c r="B355" s="8" t="s">
        <v>484</v>
      </c>
      <c r="C355" s="9" t="str" cm="1">
        <f t="array" ref="C355">_xlfn.LET(
    _xlpm.ab, _xlfn.REGEXEXTRACT(Pow_Tests[[#This Row],[input]], "=\s*\{?\K[\w,; .-]*", 1),
    _xlpm.a, INDEX(_xlpm.ab, 1, 1),
    _xlpm.b, INDEX(_xlpm.ab, 1, 2),
    BigInt.Pow(_xlpm.a, _xlpm.b)
)</f>
        <v>1024</v>
      </c>
      <c r="D35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5" s="9" t="s">
        <v>494</v>
      </c>
    </row>
    <row r="356" spans="1:5" ht="29" hidden="1" outlineLevel="1">
      <c r="A356" s="7" t="s">
        <v>517</v>
      </c>
      <c r="B356" s="8" t="s">
        <v>485</v>
      </c>
      <c r="C356" s="9" t="str" cm="1">
        <f t="array" ref="C356">_xlfn.LET(
    _xlpm.ab, _xlfn.REGEXEXTRACT(Pow_Tests[[#This Row],[input]], "=\s*\{?\K[\w,; .-]*", 1),
    _xlpm.a, INDEX(_xlpm.ab, 1, 1),
    _xlpm.b, INDEX(_xlpm.ab, 1, 2),
    BigInt.Pow(_xlpm.a, _xlpm.b)
)</f>
        <v>-8</v>
      </c>
      <c r="D35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6" s="9" t="s">
        <v>495</v>
      </c>
    </row>
    <row r="357" spans="1:5" ht="29" hidden="1" outlineLevel="1">
      <c r="A357" s="7" t="s">
        <v>518</v>
      </c>
      <c r="B357" s="8" t="s">
        <v>486</v>
      </c>
      <c r="C357" s="9" t="str" cm="1">
        <f t="array" ref="C357">_xlfn.LET(
    _xlpm.ab, _xlfn.REGEXEXTRACT(Pow_Tests[[#This Row],[input]], "=\s*\{?\K[\w,; .-]*", 1),
    _xlpm.a, INDEX(_xlpm.ab, 1, 1),
    _xlpm.b, INDEX(_xlpm.ab, 1, 2),
    BigInt.Pow(_xlpm.a, _xlpm.b)
)</f>
        <v>16</v>
      </c>
      <c r="D35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7" s="9" t="s">
        <v>496</v>
      </c>
    </row>
    <row r="358" spans="1:5" ht="29" hidden="1" outlineLevel="1">
      <c r="A358" s="7" t="s">
        <v>519</v>
      </c>
      <c r="B358" s="8" t="s">
        <v>487</v>
      </c>
      <c r="C358" s="9" t="str" cm="1">
        <f t="array" ref="C35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5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8" s="9" t="s">
        <v>497</v>
      </c>
    </row>
    <row r="359" spans="1:5" ht="29" hidden="1" outlineLevel="1">
      <c r="A359" s="7" t="s">
        <v>520</v>
      </c>
      <c r="B359" s="8" t="s">
        <v>4</v>
      </c>
      <c r="C359" s="9" t="str" cm="1">
        <f t="array" ref="C359">_xlfn.LET(
    _xlpm.ab, _xlfn.REGEXEXTRACT(Pow_Tests[[#This Row],[input]], "=\s*\{?\K[\w,; .-]*", 1),
    _xlpm.a, INDEX(_xlpm.ab, 1, 1),
    _xlpm.b, INDEX(_xlpm.ab, 1, 2),
    BigInt.Pow(_xlpm.a, _xlpm.b)
)</f>
        <v>0</v>
      </c>
      <c r="D35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59" s="9" t="s">
        <v>498</v>
      </c>
    </row>
    <row r="360" spans="1:5" ht="29" hidden="1" outlineLevel="1">
      <c r="A360" s="7" t="s">
        <v>521</v>
      </c>
      <c r="B360" s="9" t="e">
        <v>#NUM!</v>
      </c>
      <c r="C360" s="9" t="e" cm="1">
        <f t="array" ref="C360">_xlfn.LET(
    _xlpm.ab, _xlfn.REGEXEXTRACT(Pow_Tests[[#This Row],[input]], "=\s*\{?\K[\w,; .-]*", 1),
    _xlpm.a, INDEX(_xlpm.ab, 1, 1),
    _xlpm.b, INDEX(_xlpm.ab, 1, 2),
    BigInt.Pow(_xlpm.a, _xlpm.b)
)</f>
        <v>#NUM!</v>
      </c>
      <c r="D36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60" s="9" t="s">
        <v>499</v>
      </c>
    </row>
    <row r="361" spans="1:5" collapsed="1">
      <c r="A361" s="2"/>
      <c r="D361" t="b">
        <f>AND(Pow_Tests[passing])</f>
        <v>1</v>
      </c>
    </row>
    <row r="362" spans="1:5" ht="15" thickBot="1"/>
    <row r="363" spans="1:5" ht="18.5">
      <c r="A363" s="5" t="s">
        <v>534</v>
      </c>
      <c r="B363" s="5"/>
      <c r="C363" s="5"/>
      <c r="D363" s="5"/>
      <c r="E363" s="5"/>
    </row>
    <row r="364" spans="1:5">
      <c r="A364" t="s">
        <v>107</v>
      </c>
      <c r="B364" t="s">
        <v>32</v>
      </c>
      <c r="C364" t="s">
        <v>33</v>
      </c>
      <c r="D364" t="s">
        <v>45</v>
      </c>
      <c r="E364" t="s">
        <v>34</v>
      </c>
    </row>
    <row r="365" spans="1:5" ht="43.5" hidden="1" outlineLevel="1">
      <c r="A365" s="12" t="s">
        <v>535</v>
      </c>
      <c r="B365" s="9" t="s">
        <v>122</v>
      </c>
      <c r="C365" s="9" t="str" cm="1">
        <f t="array" ref="C36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6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65" s="9" t="s">
        <v>537</v>
      </c>
    </row>
    <row r="366" spans="1:5" ht="43.5" hidden="1" outlineLevel="1">
      <c r="A366" s="12" t="s">
        <v>536</v>
      </c>
      <c r="B366" s="9" t="s">
        <v>533</v>
      </c>
      <c r="C366" s="9" t="str" cm="1">
        <f t="array" ref="C36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6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66" s="9" t="s">
        <v>545</v>
      </c>
    </row>
    <row r="367" spans="1:5" ht="43.5" hidden="1" outlineLevel="1">
      <c r="A367" s="12" t="s">
        <v>568</v>
      </c>
      <c r="B367" s="9" t="s">
        <v>539</v>
      </c>
      <c r="C367" s="9" t="str" cm="1">
        <f t="array" ref="C36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6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67" s="9" t="s">
        <v>538</v>
      </c>
    </row>
    <row r="368" spans="1:5" collapsed="1">
      <c r="D368" s="9" t="b">
        <f>AND(USqrt_Tests[passing])</f>
        <v>1</v>
      </c>
    </row>
    <row r="369" spans="1:5" ht="15" thickBot="1"/>
    <row r="370" spans="1:5" ht="18.5">
      <c r="A370" s="5" t="s">
        <v>540</v>
      </c>
      <c r="B370" s="5"/>
      <c r="C370" s="5"/>
      <c r="D370" s="5"/>
      <c r="E370" s="5"/>
    </row>
    <row r="371" spans="1:5">
      <c r="A371" t="s">
        <v>107</v>
      </c>
      <c r="B371" t="s">
        <v>32</v>
      </c>
      <c r="C371" t="s">
        <v>33</v>
      </c>
      <c r="D371" t="s">
        <v>45</v>
      </c>
      <c r="E371" t="s">
        <v>34</v>
      </c>
    </row>
    <row r="372" spans="1:5" ht="43.5" hidden="1" outlineLevel="1">
      <c r="A372" s="12" t="s">
        <v>541</v>
      </c>
      <c r="B372" s="9" t="s">
        <v>406</v>
      </c>
      <c r="C372" s="9" t="str" cm="1">
        <f t="array" ref="C37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7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72" s="9" t="s">
        <v>546</v>
      </c>
    </row>
    <row r="373" spans="1:5" ht="43.5" hidden="1" outlineLevel="1">
      <c r="A373" s="12" t="s">
        <v>542</v>
      </c>
      <c r="B373" s="9" t="s">
        <v>408</v>
      </c>
      <c r="C373" s="9" t="str" cm="1">
        <f t="array" ref="C37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7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73" s="9" t="s">
        <v>547</v>
      </c>
    </row>
    <row r="374" spans="1:5" ht="43.5" hidden="1" outlineLevel="1">
      <c r="A374" s="12" t="s">
        <v>543</v>
      </c>
      <c r="B374" s="9" t="s">
        <v>566</v>
      </c>
      <c r="C374" s="9" t="str" cm="1">
        <f t="array" ref="C37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7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74" s="9" t="s">
        <v>548</v>
      </c>
    </row>
    <row r="375" spans="1:5" ht="43.5" hidden="1" outlineLevel="1">
      <c r="A375" s="12" t="s">
        <v>544</v>
      </c>
      <c r="B375" s="9" t="s">
        <v>567</v>
      </c>
      <c r="C375" s="9" t="str" cm="1">
        <f t="array" ref="C37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7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75" s="9" t="s">
        <v>549</v>
      </c>
    </row>
    <row r="376" spans="1:5" collapsed="1">
      <c r="D376" s="9" t="b">
        <f>AND(NewtonRaphsonReciprocal_Tests[passing])</f>
        <v>1</v>
      </c>
    </row>
    <row r="377" spans="1:5" ht="15" thickBot="1"/>
    <row r="378" spans="1:5" ht="18.5">
      <c r="A378" s="5" t="s">
        <v>550</v>
      </c>
      <c r="B378" s="5"/>
      <c r="C378" s="5"/>
      <c r="D378" s="5"/>
      <c r="E378" s="5"/>
    </row>
    <row r="379" spans="1:5">
      <c r="A379" t="s">
        <v>107</v>
      </c>
      <c r="B379" t="s">
        <v>32</v>
      </c>
      <c r="C379" t="s">
        <v>33</v>
      </c>
      <c r="D379" t="s">
        <v>45</v>
      </c>
      <c r="E379" t="s">
        <v>34</v>
      </c>
    </row>
    <row r="380" spans="1:5" ht="43.5" hidden="1" outlineLevel="1">
      <c r="A380" s="12" t="s">
        <v>560</v>
      </c>
      <c r="B380" s="9" t="s">
        <v>565</v>
      </c>
      <c r="C380" s="9" t="str" cm="1">
        <f t="array" ref="C38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8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80" s="9" t="s">
        <v>551</v>
      </c>
    </row>
    <row r="381" spans="1:5" ht="43.5" hidden="1" outlineLevel="1">
      <c r="A381" s="12" t="s">
        <v>561</v>
      </c>
      <c r="B381" s="9" t="s">
        <v>556</v>
      </c>
      <c r="C381" s="9" t="str" cm="1">
        <f t="array" ref="C38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8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81" s="9" t="s">
        <v>552</v>
      </c>
    </row>
    <row r="382" spans="1:5" ht="43.5" hidden="1" outlineLevel="1">
      <c r="A382" s="12" t="s">
        <v>562</v>
      </c>
      <c r="B382" s="9" t="s">
        <v>557</v>
      </c>
      <c r="C382" s="9" t="str" cm="1">
        <f t="array" ref="C38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8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82" s="9" t="s">
        <v>553</v>
      </c>
    </row>
    <row r="383" spans="1:5" ht="43.5" hidden="1" outlineLevel="1">
      <c r="A383" s="12" t="s">
        <v>563</v>
      </c>
      <c r="B383" s="9" t="s">
        <v>558</v>
      </c>
      <c r="C383" s="9" t="str" cm="1">
        <f t="array" ref="C38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8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83" s="9" t="s">
        <v>554</v>
      </c>
    </row>
    <row r="384" spans="1:5" ht="43.5" hidden="1" outlineLevel="1">
      <c r="A384" s="12" t="s">
        <v>564</v>
      </c>
      <c r="B384" s="9" t="s">
        <v>559</v>
      </c>
      <c r="C384" s="9" t="str" cm="1">
        <f t="array" ref="C38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84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84" s="9" t="s">
        <v>555</v>
      </c>
    </row>
    <row r="385" spans="1:5" collapsed="1">
      <c r="D385" s="9" t="b">
        <f>AND(NewtonRaphsonDiv_Tests[passing])</f>
        <v>1</v>
      </c>
    </row>
    <row r="386" spans="1:5" ht="15" thickBot="1"/>
    <row r="387" spans="1:5" ht="18.5">
      <c r="A387" s="5" t="s">
        <v>576</v>
      </c>
      <c r="B387" s="5"/>
      <c r="C387" s="5"/>
      <c r="D387" s="5"/>
      <c r="E387" s="5"/>
    </row>
    <row r="388" spans="1:5">
      <c r="A388" t="s">
        <v>107</v>
      </c>
      <c r="B388" t="s">
        <v>32</v>
      </c>
      <c r="C388" t="s">
        <v>33</v>
      </c>
      <c r="D388" s="6" t="s">
        <v>45</v>
      </c>
      <c r="E388" t="s">
        <v>34</v>
      </c>
    </row>
    <row r="389" spans="1:5" hidden="1" outlineLevel="1">
      <c r="A389" s="9">
        <v>2</v>
      </c>
      <c r="B389" s="9" t="s">
        <v>126</v>
      </c>
      <c r="C389" s="9" t="str">
        <f>_xlfn.ARRAYTOTEXT(core_BigInt.NativePrimes(NativePrimes_Tests[[#This Row],[input]]), 1)</f>
        <v>{2}</v>
      </c>
      <c r="D389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89" s="9" t="s">
        <v>571</v>
      </c>
    </row>
    <row r="390" spans="1:5" hidden="1" outlineLevel="1">
      <c r="A390" s="9">
        <v>10</v>
      </c>
      <c r="B390" s="9" t="s">
        <v>569</v>
      </c>
      <c r="C390" s="9" t="str">
        <f>_xlfn.ARRAYTOTEXT(core_BigInt.NativePrimes(NativePrimes_Tests[[#This Row],[input]]), 1)</f>
        <v>{2;3;5;7}</v>
      </c>
      <c r="D390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90" s="9" t="s">
        <v>572</v>
      </c>
    </row>
    <row r="391" spans="1:5" hidden="1" outlineLevel="1">
      <c r="A391" s="9">
        <v>20</v>
      </c>
      <c r="B391" s="9" t="s">
        <v>570</v>
      </c>
      <c r="C391" s="9" t="str">
        <f>_xlfn.ARRAYTOTEXT(core_BigInt.NativePrimes(NativePrimes_Tests[[#This Row],[input]]), 1)</f>
        <v>{2;3;5;7;11;13;17;19}</v>
      </c>
      <c r="D391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91" s="9" t="s">
        <v>573</v>
      </c>
    </row>
    <row r="392" spans="1:5" hidden="1" outlineLevel="1">
      <c r="A392" s="9">
        <v>1</v>
      </c>
      <c r="B392" s="9" t="e">
        <f>_xlfn.ARRAYTOTEXT(core_BigInt.NativePrimes(NativePrimes_Tests[[#This Row],[input]]), 1)</f>
        <v>#NUM!</v>
      </c>
      <c r="C392" s="9" t="e">
        <f>_xlfn.ARRAYTOTEXT(core_BigInt.NativePrimes(NativePrimes_Tests[[#This Row],[input]]), 1)</f>
        <v>#NUM!</v>
      </c>
      <c r="D392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92" s="9" t="s">
        <v>574</v>
      </c>
    </row>
    <row r="393" spans="1:5" hidden="1" outlineLevel="1">
      <c r="A393" s="9">
        <v>0</v>
      </c>
      <c r="B393" s="9" t="e">
        <f>_xlfn.ARRAYTOTEXT(core_BigInt.NativePrimes(NativePrimes_Tests[[#This Row],[input]]), 1)</f>
        <v>#NUM!</v>
      </c>
      <c r="C393" s="9" t="e">
        <f>_xlfn.ARRAYTOTEXT(core_BigInt.NativePrimes(NativePrimes_Tests[[#This Row],[input]]), 1)</f>
        <v>#NUM!</v>
      </c>
      <c r="D393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93" s="9" t="s">
        <v>575</v>
      </c>
    </row>
    <row r="394" spans="1:5" collapsed="1">
      <c r="A394" s="2"/>
      <c r="D394" t="b">
        <f>AND(NativePrimes_Tests[passing])</f>
        <v>1</v>
      </c>
    </row>
    <row r="395" spans="1:5" ht="15" thickBot="1"/>
    <row r="396" spans="1:5" ht="18.5">
      <c r="A396" s="5" t="s">
        <v>591</v>
      </c>
      <c r="B396" s="5"/>
      <c r="C396" s="5"/>
      <c r="D396" s="5"/>
      <c r="E396" s="5"/>
    </row>
    <row r="397" spans="1:5">
      <c r="A397" t="s">
        <v>107</v>
      </c>
      <c r="B397" t="s">
        <v>32</v>
      </c>
      <c r="C397" t="s">
        <v>33</v>
      </c>
      <c r="D397" s="6" t="s">
        <v>45</v>
      </c>
      <c r="E397" t="s">
        <v>34</v>
      </c>
    </row>
    <row r="398" spans="1:5" ht="29" hidden="1" outlineLevel="1">
      <c r="A398" s="12" t="s">
        <v>277</v>
      </c>
      <c r="B398" s="7" t="s">
        <v>284</v>
      </c>
      <c r="C398" s="12" t="str" cm="1">
        <f t="array" ref="C398">_xlfn.LET(
    _xlpm.ab, _xlfn.REGEXEXTRACT(UTextMul_Tests[[#This Row],[input]], "=\s*\{?\K[\w,; .-]*", 1),
    _xlpm.a, INDEX(_xlpm.ab,1,1),
    _xlpm.b, INDEX(_xlpm.ab,1,2),
    core_BigInt.UTextMul(_xlpm.a, _xlpm.b)
)</f>
        <v>998001</v>
      </c>
      <c r="D398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98" s="12" t="s">
        <v>597</v>
      </c>
    </row>
    <row r="399" spans="1:5" ht="29" hidden="1" outlineLevel="1">
      <c r="A399" s="12" t="s">
        <v>592</v>
      </c>
      <c r="B399" s="7" t="s">
        <v>593</v>
      </c>
      <c r="C399" s="12" t="str" cm="1">
        <f t="array" ref="C399">_xlfn.LET(
    _xlpm.ab, _xlfn.REGEXEXTRACT(UTextMul_Tests[[#This Row],[input]], "=\s*\{?\K[\w,; .-]*", 1),
    _xlpm.a, INDEX(_xlpm.ab,1,1),
    _xlpm.b, INDEX(_xlpm.ab,1,2),
    core_BigInt.UTextMul(_xlpm.a, _xlpm.b)
)</f>
        <v>246912</v>
      </c>
      <c r="D399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99" s="12" t="s">
        <v>598</v>
      </c>
    </row>
    <row r="400" spans="1:5" ht="29" hidden="1" outlineLevel="1">
      <c r="A400" s="12" t="s">
        <v>594</v>
      </c>
      <c r="B400" s="7" t="s">
        <v>595</v>
      </c>
      <c r="C400" s="12" t="str" cm="1">
        <f t="array" ref="C400">_xlfn.LET(
    _xlpm.ab, _xlfn.REGEXEXTRACT(UTextMul_Tests[[#This Row],[input]], "=\s*\{?\K[\w,; .-]*", 1),
    _xlpm.a, INDEX(_xlpm.ab,1,1),
    _xlpm.b, INDEX(_xlpm.ab,1,2),
    core_BigInt.UTextMul(_xlpm.a, _xlpm.b)
)</f>
        <v>1000000</v>
      </c>
      <c r="D400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400" s="12" t="s">
        <v>599</v>
      </c>
    </row>
    <row r="401" spans="1:5" ht="29" hidden="1" outlineLevel="1">
      <c r="A401" s="12" t="s">
        <v>596</v>
      </c>
      <c r="B401" s="7" t="s">
        <v>4</v>
      </c>
      <c r="C401" s="12" t="str" cm="1">
        <f t="array" ref="C401">_xlfn.LET(
    _xlpm.ab, _xlfn.REGEXEXTRACT(UTextMul_Tests[[#This Row],[input]], "=\s*\{?\K[\w,; .-]*", 1),
    _xlpm.a, INDEX(_xlpm.ab,1,1),
    _xlpm.b, INDEX(_xlpm.ab,1,2),
    core_BigInt.UTextMul(_xlpm.a, _xlpm.b)
)</f>
        <v>0</v>
      </c>
      <c r="D401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401" s="12" t="s">
        <v>295</v>
      </c>
    </row>
    <row r="402" spans="1:5" ht="29" hidden="1" outlineLevel="1">
      <c r="A402" s="12" t="s">
        <v>281</v>
      </c>
      <c r="B402" s="7" t="s">
        <v>283</v>
      </c>
      <c r="C402" s="12" t="str" cm="1">
        <f t="array" ref="C402">_xlfn.LET(
    _xlpm.ab, _xlfn.REGEXEXTRACT(UTextMul_Tests[[#This Row],[input]], "=\s*\{?\K[\w,; .-]*", 1),
    _xlpm.a, INDEX(_xlpm.ab,1,1),
    _xlpm.b, INDEX(_xlpm.ab,1,2),
    core_BigInt.UTextMul(_xlpm.a, _xlpm.b)
)</f>
        <v>999999999999999999</v>
      </c>
      <c r="D402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402" s="12" t="s">
        <v>296</v>
      </c>
    </row>
    <row r="403" spans="1:5" collapsed="1">
      <c r="A403" s="12"/>
      <c r="B403" s="12"/>
      <c r="C403" s="12"/>
      <c r="D403" s="9" t="b">
        <f>AND(UTextMul_Tests[passing])</f>
        <v>1</v>
      </c>
      <c r="E403" s="12"/>
    </row>
    <row r="404" spans="1:5" ht="15" thickBot="1"/>
    <row r="405" spans="1:5" ht="18.5">
      <c r="A405" s="5" t="s">
        <v>579</v>
      </c>
      <c r="B405" s="5"/>
      <c r="C405" s="5"/>
      <c r="D405" s="5"/>
      <c r="E405" s="5"/>
    </row>
    <row r="406" spans="1:5">
      <c r="A406" t="s">
        <v>107</v>
      </c>
      <c r="B406" t="s">
        <v>32</v>
      </c>
      <c r="C406" t="s">
        <v>33</v>
      </c>
      <c r="D406" t="s">
        <v>45</v>
      </c>
      <c r="E406" t="s">
        <v>34</v>
      </c>
    </row>
    <row r="407" spans="1:5" hidden="1" outlineLevel="1">
      <c r="A407" s="12" t="s">
        <v>580</v>
      </c>
      <c r="B407" s="7" t="s">
        <v>46</v>
      </c>
      <c r="C407" s="12" t="str" cm="1">
        <f t="array" ref="C407">_xlfn.LET(
    _xlpm.big_ints, _xlfn.REGEXEXTRACT(TextTreeProd_Tests37[[#This Row],[input]], "{\K[\w,; .-]*"),
    _xlpm.big_int_arr, _xlfn.TEXTSPLIT(_xlpm.big_ints,",",";"),
    core_BigInt.TextTreeProd(_xlpm.big_int_arr)
)</f>
        <v>5</v>
      </c>
      <c r="D407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407" s="12" t="s">
        <v>590</v>
      </c>
    </row>
    <row r="408" spans="1:5" hidden="1" outlineLevel="1">
      <c r="A408" s="12" t="s">
        <v>581</v>
      </c>
      <c r="B408" s="7" t="s">
        <v>584</v>
      </c>
      <c r="C408" s="12" t="str" cm="1">
        <f t="array" ref="C408">_xlfn.LET(
    _xlpm.big_ints, _xlfn.REGEXEXTRACT(TextTreeProd_Tests37[[#This Row],[input]], "{\K[\w,; .-]*"),
    _xlpm.big_int_arr, _xlfn.TEXTSPLIT(_xlpm.big_ints,",",";"),
    core_BigInt.TextTreeProd(_xlpm.big_int_arr)
)</f>
        <v>6</v>
      </c>
      <c r="D408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408" s="12" t="s">
        <v>587</v>
      </c>
    </row>
    <row r="409" spans="1:5" hidden="1" outlineLevel="1">
      <c r="A409" s="12" t="s">
        <v>582</v>
      </c>
      <c r="B409" s="7" t="s">
        <v>585</v>
      </c>
      <c r="C409" s="12" t="str" cm="1">
        <f t="array" ref="C409">_xlfn.LET(
    _xlpm.big_ints, _xlfn.REGEXEXTRACT(TextTreeProd_Tests37[[#This Row],[input]], "{\K[\w,; .-]*"),
    _xlpm.big_int_arr, _xlfn.TEXTSPLIT(_xlpm.big_ints,",",";"),
    core_BigInt.TextTreeProd(_xlpm.big_int_arr)
)</f>
        <v>24</v>
      </c>
      <c r="D409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409" s="12" t="s">
        <v>588</v>
      </c>
    </row>
    <row r="410" spans="1:5" hidden="1" outlineLevel="1">
      <c r="A410" s="12" t="s">
        <v>583</v>
      </c>
      <c r="B410" s="7" t="s">
        <v>586</v>
      </c>
      <c r="C410" s="12" t="str" cm="1">
        <f t="array" ref="C410">_xlfn.LET(
    _xlpm.big_ints, _xlfn.REGEXEXTRACT(TextTreeProd_Tests37[[#This Row],[input]], "{\K[\w,; .-]*"),
    _xlpm.big_int_arr, _xlfn.TEXTSPLIT(_xlpm.big_ints,",",";"),
    core_BigInt.TextTreeProd(_xlpm.big_int_arr)
)</f>
        <v>120</v>
      </c>
      <c r="D410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410" s="12" t="s">
        <v>589</v>
      </c>
    </row>
    <row r="411" spans="1:5" collapsed="1">
      <c r="D411" s="9" t="b">
        <f>AND(TextTreeProd_Tests37[passing])</f>
        <v>1</v>
      </c>
    </row>
    <row r="412" spans="1:5" ht="15" thickBot="1"/>
    <row r="413" spans="1:5" ht="18.5">
      <c r="A413" s="5" t="s">
        <v>612</v>
      </c>
      <c r="B413" s="5"/>
      <c r="C413" s="5"/>
      <c r="D413" s="5"/>
      <c r="E413" s="5"/>
    </row>
    <row r="414" spans="1:5">
      <c r="A414" t="s">
        <v>107</v>
      </c>
      <c r="B414" t="s">
        <v>32</v>
      </c>
      <c r="C414" t="s">
        <v>33</v>
      </c>
      <c r="D414" s="6" t="s">
        <v>45</v>
      </c>
      <c r="E414" t="s">
        <v>34</v>
      </c>
    </row>
    <row r="415" spans="1:5" hidden="1" outlineLevel="1">
      <c r="A415" s="9" t="s">
        <v>4</v>
      </c>
      <c r="B415" s="9" t="s">
        <v>50</v>
      </c>
      <c r="C415" s="9" t="str" cm="1">
        <f t="array" ref="C415">BigInt.Fact(Fact_Tests[[#This Row],[input]])</f>
        <v>1</v>
      </c>
      <c r="D415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15" s="9" t="s">
        <v>600</v>
      </c>
    </row>
    <row r="416" spans="1:5" hidden="1" outlineLevel="1">
      <c r="A416" s="9" t="s">
        <v>50</v>
      </c>
      <c r="B416" s="9" t="s">
        <v>50</v>
      </c>
      <c r="C416" s="9" t="str" cm="1">
        <f t="array" ref="C416">BigInt.Fact(Fact_Tests[[#This Row],[input]])</f>
        <v>1</v>
      </c>
      <c r="D416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16" s="9" t="s">
        <v>601</v>
      </c>
    </row>
    <row r="417" spans="1:5" hidden="1" outlineLevel="1">
      <c r="A417" s="9" t="s">
        <v>46</v>
      </c>
      <c r="B417" s="9" t="s">
        <v>586</v>
      </c>
      <c r="C417" s="9" t="str" cm="1">
        <f t="array" ref="C417">BigInt.Fact(Fact_Tests[[#This Row],[input]])</f>
        <v>120</v>
      </c>
      <c r="D417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17" s="9" t="s">
        <v>602</v>
      </c>
    </row>
    <row r="418" spans="1:5" hidden="1" outlineLevel="1">
      <c r="A418" s="9" t="s">
        <v>607</v>
      </c>
      <c r="B418" s="9" t="s">
        <v>608</v>
      </c>
      <c r="C418" s="9" t="str" cm="1">
        <f t="array" ref="C418">BigInt.Fact(Fact_Tests[[#This Row],[input]])</f>
        <v>3628800</v>
      </c>
      <c r="D418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18" s="9" t="s">
        <v>603</v>
      </c>
    </row>
    <row r="419" spans="1:5" hidden="1" outlineLevel="1">
      <c r="A419" s="9" t="s">
        <v>609</v>
      </c>
      <c r="B419" s="9" t="e">
        <v>#NUM!</v>
      </c>
      <c r="C419" s="9" t="e" cm="1">
        <f t="array" ref="C419">BigInt.Fact(Fact_Tests[[#This Row],[input]])</f>
        <v>#NUM!</v>
      </c>
      <c r="D419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19" s="9" t="s">
        <v>604</v>
      </c>
    </row>
    <row r="420" spans="1:5" hidden="1" outlineLevel="1">
      <c r="A420" s="9" t="s">
        <v>610</v>
      </c>
      <c r="B420" s="9" t="e">
        <v>#NUM!</v>
      </c>
      <c r="C420" s="9" t="e" cm="1">
        <f t="array" ref="C420">BigInt.Fact(Fact_Tests[[#This Row],[input]])</f>
        <v>#NUM!</v>
      </c>
      <c r="D420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20" s="9" t="s">
        <v>605</v>
      </c>
    </row>
    <row r="421" spans="1:5" hidden="1" outlineLevel="1">
      <c r="A421" s="9" t="s">
        <v>611</v>
      </c>
      <c r="B421" s="9" t="e">
        <v>#NUM!</v>
      </c>
      <c r="C421" s="9" t="e" cm="1">
        <f t="array" ref="C421">BigInt.Fact(Fact_Tests[[#This Row],[input]])</f>
        <v>#NUM!</v>
      </c>
      <c r="D421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21" s="9" t="s">
        <v>606</v>
      </c>
    </row>
    <row r="422" spans="1:5" collapsed="1">
      <c r="A422" s="2"/>
      <c r="D422" t="b">
        <f>AND(Fact_Tests[passing])</f>
        <v>1</v>
      </c>
    </row>
    <row r="423" spans="1:5" ht="15" thickBot="1"/>
    <row r="424" spans="1:5" ht="18.5">
      <c r="A424" s="5" t="s">
        <v>615</v>
      </c>
      <c r="B424" s="5"/>
      <c r="C424" s="5"/>
      <c r="D424" s="5"/>
      <c r="E424" s="5"/>
    </row>
    <row r="425" spans="1:5">
      <c r="A425" t="s">
        <v>107</v>
      </c>
      <c r="B425" t="s">
        <v>32</v>
      </c>
      <c r="C425" t="s">
        <v>33</v>
      </c>
      <c r="D425" t="s">
        <v>45</v>
      </c>
      <c r="E425" t="s">
        <v>34</v>
      </c>
    </row>
    <row r="426" spans="1:5" ht="29" hidden="1" outlineLevel="1">
      <c r="A426" s="12" t="s">
        <v>578</v>
      </c>
      <c r="B426" s="12" t="s">
        <v>616</v>
      </c>
      <c r="C426" s="12" t="str" cm="1">
        <f t="array" ref="C426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{1;1;1}</v>
      </c>
      <c r="D426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26" s="12" t="s">
        <v>613</v>
      </c>
    </row>
    <row r="427" spans="1:5" ht="29" hidden="1" outlineLevel="1">
      <c r="A427" s="12" t="s">
        <v>577</v>
      </c>
      <c r="B427" s="12" t="s">
        <v>617</v>
      </c>
      <c r="C427" s="12" t="str" cm="1">
        <f t="array" ref="C427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{2;2;0;1}</v>
      </c>
      <c r="D427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27" s="12" t="s">
        <v>614</v>
      </c>
    </row>
    <row r="428" spans="1:5" collapsed="1">
      <c r="D428" s="9" t="b">
        <f>AND(NativeSwingExponents_Tests[passing])</f>
        <v>1</v>
      </c>
    </row>
    <row r="429" spans="1:5" ht="15" thickBot="1"/>
    <row r="430" spans="1:5" ht="18.5">
      <c r="A430" s="5" t="s">
        <v>622</v>
      </c>
      <c r="B430" s="5"/>
      <c r="C430" s="5"/>
      <c r="D430" s="5"/>
      <c r="E430" s="5"/>
    </row>
    <row r="431" spans="1:5">
      <c r="A431" t="s">
        <v>107</v>
      </c>
      <c r="B431" t="s">
        <v>32</v>
      </c>
      <c r="C431" t="s">
        <v>33</v>
      </c>
      <c r="D431" t="s">
        <v>45</v>
      </c>
      <c r="E431" t="s">
        <v>34</v>
      </c>
    </row>
    <row r="432" spans="1:5" ht="29" hidden="1" outlineLevel="1">
      <c r="A432" s="12" t="s">
        <v>620</v>
      </c>
      <c r="B432" s="12" t="s">
        <v>586</v>
      </c>
      <c r="C432" s="12" t="str" cm="1">
        <f t="array" ref="C432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120</v>
      </c>
      <c r="D432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32" s="12" t="s">
        <v>618</v>
      </c>
    </row>
    <row r="433" spans="1:5" ht="29" hidden="1" outlineLevel="1">
      <c r="A433" s="12" t="s">
        <v>621</v>
      </c>
      <c r="B433" s="12" t="s">
        <v>608</v>
      </c>
      <c r="C433" s="12" t="str" cm="1">
        <f t="array" ref="C433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3628800</v>
      </c>
      <c r="D433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33" s="12" t="s">
        <v>619</v>
      </c>
    </row>
    <row r="434" spans="1:5" collapsed="1">
      <c r="D434" s="9" t="b">
        <f>AND(PrimeSwingKernel_Tests[passing])</f>
        <v>1</v>
      </c>
    </row>
    <row r="435" spans="1:5" ht="15" thickBot="1"/>
    <row r="436" spans="1:5" ht="18.5">
      <c r="A436" s="5" t="s">
        <v>623</v>
      </c>
      <c r="B436" s="5"/>
      <c r="C436" s="5"/>
      <c r="D436" s="5"/>
      <c r="E436" s="5"/>
    </row>
    <row r="437" spans="1:5">
      <c r="A437" t="s">
        <v>107</v>
      </c>
      <c r="B437" t="s">
        <v>32</v>
      </c>
      <c r="C437" t="s">
        <v>33</v>
      </c>
      <c r="D437" t="s">
        <v>45</v>
      </c>
      <c r="E437" t="s">
        <v>34</v>
      </c>
    </row>
    <row r="438" spans="1:5" ht="29" hidden="1" outlineLevel="1">
      <c r="A438" s="12" t="s">
        <v>627</v>
      </c>
      <c r="B438" s="12" t="s">
        <v>231</v>
      </c>
      <c r="C438" s="12" t="str" cm="1">
        <f t="array" ref="C438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38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38" s="12" t="s">
        <v>633</v>
      </c>
    </row>
    <row r="439" spans="1:5" ht="29" hidden="1" outlineLevel="1">
      <c r="A439" s="12" t="s">
        <v>628</v>
      </c>
      <c r="B439" s="12" t="s">
        <v>46</v>
      </c>
      <c r="C439" s="12" t="str" cm="1">
        <f t="array" ref="C439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39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39" s="12" t="s">
        <v>634</v>
      </c>
    </row>
    <row r="440" spans="1:5" ht="29" hidden="1" outlineLevel="1">
      <c r="A440" s="12" t="s">
        <v>629</v>
      </c>
      <c r="B440" s="12" t="s">
        <v>231</v>
      </c>
      <c r="C440" s="12" t="str" cm="1">
        <f t="array" ref="C440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40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40" s="12" t="s">
        <v>635</v>
      </c>
    </row>
    <row r="441" spans="1:5" ht="29" hidden="1" outlineLevel="1">
      <c r="A441" s="12" t="s">
        <v>630</v>
      </c>
      <c r="B441" s="12" t="s">
        <v>607</v>
      </c>
      <c r="C441" s="12" t="str" cm="1">
        <f t="array" ref="C44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10</v>
      </c>
      <c r="D441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41" s="12" t="s">
        <v>636</v>
      </c>
    </row>
    <row r="442" spans="1:5" ht="29" hidden="1" outlineLevel="1">
      <c r="A442" s="12" t="s">
        <v>631</v>
      </c>
      <c r="B442" s="12" t="s">
        <v>625</v>
      </c>
      <c r="C442" s="12" t="str" cm="1">
        <f t="array" ref="C442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-10</v>
      </c>
      <c r="D442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42" s="12" t="s">
        <v>637</v>
      </c>
    </row>
    <row r="443" spans="1:5" ht="29" hidden="1" outlineLevel="1">
      <c r="A443" s="12" t="s">
        <v>632</v>
      </c>
      <c r="B443" s="12" t="s">
        <v>46</v>
      </c>
      <c r="C443" s="12" t="str" cm="1">
        <f t="array" ref="C443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43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43" s="12" t="s">
        <v>638</v>
      </c>
    </row>
    <row r="444" spans="1:5" ht="29" hidden="1" outlineLevel="1">
      <c r="A444" s="12" t="s">
        <v>624</v>
      </c>
      <c r="B444" s="12" t="s">
        <v>626</v>
      </c>
      <c r="C444" s="12" t="str" cm="1">
        <f t="array" ref="C444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42</v>
      </c>
      <c r="D444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44" s="12" t="s">
        <v>639</v>
      </c>
    </row>
    <row r="445" spans="1:5" collapsed="1">
      <c r="D445" s="9" t="b">
        <f>AND(TreeCompare_Tests[passing])</f>
        <v>1</v>
      </c>
    </row>
    <row r="446" spans="1:5" ht="15" thickBot="1"/>
    <row r="447" spans="1:5" ht="18.5">
      <c r="A447" s="5" t="s">
        <v>641</v>
      </c>
      <c r="B447" s="5"/>
      <c r="C447" s="5"/>
      <c r="D447" s="5"/>
      <c r="E447" s="5"/>
    </row>
    <row r="448" spans="1:5">
      <c r="A448" t="s">
        <v>107</v>
      </c>
      <c r="B448" t="s">
        <v>32</v>
      </c>
      <c r="C448" t="s">
        <v>33</v>
      </c>
      <c r="D448" t="s">
        <v>45</v>
      </c>
      <c r="E448" t="s">
        <v>34</v>
      </c>
    </row>
    <row r="449" spans="1:5" hidden="1" outlineLevel="1">
      <c r="A449" s="12" t="s">
        <v>642</v>
      </c>
      <c r="B449" s="12" t="s">
        <v>645</v>
      </c>
      <c r="C449" s="12" t="str" cm="1">
        <f t="array" ref="C449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20</v>
      </c>
      <c r="D449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49" s="12" t="s">
        <v>648</v>
      </c>
    </row>
    <row r="450" spans="1:5" hidden="1" outlineLevel="1">
      <c r="A450" s="12" t="s">
        <v>643</v>
      </c>
      <c r="B450" s="12" t="s">
        <v>646</v>
      </c>
      <c r="C450" s="12" t="str" cm="1">
        <f t="array" ref="C450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9</v>
      </c>
      <c r="D450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50" s="12" t="s">
        <v>649</v>
      </c>
    </row>
    <row r="451" spans="1:5" hidden="1" outlineLevel="1">
      <c r="A451" s="12" t="s">
        <v>647</v>
      </c>
      <c r="B451" s="12" t="s">
        <v>4</v>
      </c>
      <c r="C451" s="12" t="str" cm="1">
        <f t="array" ref="C451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51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51" s="12" t="s">
        <v>651</v>
      </c>
    </row>
    <row r="452" spans="1:5" hidden="1" outlineLevel="1">
      <c r="A452" s="12" t="s">
        <v>640</v>
      </c>
      <c r="B452" s="7" t="s">
        <v>4</v>
      </c>
      <c r="C452" s="12" t="str" cm="1">
        <f t="array" ref="C452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52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52" s="12" t="s">
        <v>654</v>
      </c>
    </row>
    <row r="453" spans="1:5" hidden="1" outlineLevel="1">
      <c r="A453" s="12" t="s">
        <v>644</v>
      </c>
      <c r="B453" s="12" t="e">
        <v>#VALUE!</v>
      </c>
      <c r="C453" s="12" t="e" cm="1">
        <f t="array" ref="C453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#VALUE!</v>
      </c>
      <c r="D453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53" s="12" t="s">
        <v>650</v>
      </c>
    </row>
    <row r="454" spans="1:5" ht="15" collapsed="1" thickBot="1">
      <c r="D454" s="9" t="b">
        <f>AND(Max_Tests[passing])</f>
        <v>1</v>
      </c>
    </row>
    <row r="455" spans="1:5" ht="18.5">
      <c r="A455" s="5" t="s">
        <v>652</v>
      </c>
      <c r="B455" s="5"/>
      <c r="C455" s="5"/>
      <c r="D455" s="5"/>
      <c r="E455" s="5"/>
    </row>
    <row r="456" spans="1:5">
      <c r="A456" t="s">
        <v>107</v>
      </c>
      <c r="B456" t="s">
        <v>32</v>
      </c>
      <c r="C456" t="s">
        <v>33</v>
      </c>
      <c r="D456" t="s">
        <v>45</v>
      </c>
      <c r="E456" t="s">
        <v>34</v>
      </c>
    </row>
    <row r="457" spans="1:5" hidden="1" outlineLevel="1">
      <c r="A457" s="12" t="s">
        <v>642</v>
      </c>
      <c r="B457" s="7" t="s">
        <v>46</v>
      </c>
      <c r="C457" s="12" t="str" cm="1">
        <f t="array" ref="C457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5</v>
      </c>
      <c r="D457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57" s="12" t="s">
        <v>648</v>
      </c>
    </row>
    <row r="458" spans="1:5" hidden="1" outlineLevel="1">
      <c r="A458" s="12" t="s">
        <v>643</v>
      </c>
      <c r="B458" s="7" t="s">
        <v>653</v>
      </c>
      <c r="C458" s="12" t="str" cm="1">
        <f t="array" ref="C458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7</v>
      </c>
      <c r="D458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58" s="12" t="s">
        <v>649</v>
      </c>
    </row>
    <row r="459" spans="1:5" hidden="1" outlineLevel="1">
      <c r="A459" s="12" t="s">
        <v>647</v>
      </c>
      <c r="B459" s="7" t="s">
        <v>4</v>
      </c>
      <c r="C459" s="12" t="str" cm="1">
        <f t="array" ref="C459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59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59" s="12" t="s">
        <v>651</v>
      </c>
    </row>
    <row r="460" spans="1:5" hidden="1" outlineLevel="1">
      <c r="A460" s="12" t="s">
        <v>640</v>
      </c>
      <c r="B460" s="7" t="s">
        <v>4</v>
      </c>
      <c r="C460" s="12" t="str" cm="1">
        <f t="array" ref="C460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60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60" s="12" t="s">
        <v>654</v>
      </c>
    </row>
    <row r="461" spans="1:5" hidden="1" outlineLevel="1">
      <c r="A461" s="12" t="s">
        <v>644</v>
      </c>
      <c r="B461" s="12" t="e">
        <v>#VALUE!</v>
      </c>
      <c r="C461" s="12" t="e" cm="1">
        <f t="array" ref="C461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#VALUE!</v>
      </c>
      <c r="D461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61" s="12" t="s">
        <v>650</v>
      </c>
    </row>
    <row r="462" spans="1:5" collapsed="1">
      <c r="D462" s="9" t="b">
        <f>AND(Min_Tests[passing])</f>
        <v>1</v>
      </c>
    </row>
    <row r="478" ht="14.5" customHeight="1"/>
    <row r="481" spans="1:2" ht="14.5" customHeight="1"/>
    <row r="484" spans="1:2" ht="14.5" customHeight="1"/>
    <row r="485" spans="1:2">
      <c r="A485" cm="1">
        <f t="array" ref="A485:A486">LEN(B485:B486)</f>
        <v>68</v>
      </c>
      <c r="B485" t="str" cm="1">
        <f t="array" ref="B485">BigInt.Fact(B488)</f>
        <v>80658175170943878571660636856403766975289505440883277824000000000000</v>
      </c>
    </row>
    <row r="486" spans="1:2">
      <c r="A486">
        <v>68</v>
      </c>
      <c r="B486" t="str" cm="1">
        <f t="array" ref="B486">_xlfn._xlws.PY(0,0,B488,B489)</f>
        <v>80658175170943878571660636856403766975289505440883277824000000000000</v>
      </c>
    </row>
    <row r="487" spans="1:2" ht="14.5" customHeight="1">
      <c r="B487" t="b">
        <f>B485 = B486</f>
        <v>1</v>
      </c>
    </row>
    <row r="488" spans="1:2">
      <c r="A488">
        <f>LEN(B488)</f>
        <v>2</v>
      </c>
      <c r="B488" s="2">
        <v>52</v>
      </c>
    </row>
    <row r="489" spans="1:2">
      <c r="B489">
        <v>12</v>
      </c>
    </row>
    <row r="490" spans="1:2" ht="14.5" customHeight="1"/>
  </sheetData>
  <sortState xmlns:xlrd2="http://schemas.microsoft.com/office/spreadsheetml/2017/richdata2" ref="A478:E480">
    <sortCondition ref="A476:A480"/>
  </sortState>
  <conditionalFormatting sqref="B487">
    <cfRule type="cellIs" dxfId="60" priority="33" operator="equal">
      <formula>TRUE</formula>
    </cfRule>
  </conditionalFormatting>
  <conditionalFormatting sqref="D170:D180 D285:D300 D304:D309 D337:D344 D398:D403 D407:D411 D426:D428 D449:D454 D457:D462 D8:D46">
    <cfRule type="expression" dxfId="59" priority="102" stopIfTrue="1">
      <formula>$D8</formula>
    </cfRule>
    <cfRule type="expression" dxfId="58" priority="103">
      <formula>TRUE</formula>
    </cfRule>
  </conditionalFormatting>
  <conditionalFormatting sqref="D50:D57 D106:D114 D138:D144">
    <cfRule type="expression" dxfId="57" priority="100" stopIfTrue="1">
      <formula>$D50</formula>
    </cfRule>
    <cfRule type="expression" dxfId="56" priority="101">
      <formula>TRUE</formula>
    </cfRule>
  </conditionalFormatting>
  <conditionalFormatting sqref="D61:D66">
    <cfRule type="expression" dxfId="55" priority="96" stopIfTrue="1">
      <formula>$D61</formula>
    </cfRule>
    <cfRule type="expression" dxfId="54" priority="97">
      <formula>TRUE</formula>
    </cfRule>
  </conditionalFormatting>
  <conditionalFormatting sqref="D70:D80">
    <cfRule type="expression" dxfId="53" priority="86" stopIfTrue="1">
      <formula>$D70</formula>
    </cfRule>
    <cfRule type="expression" dxfId="52" priority="87">
      <formula>TRUE</formula>
    </cfRule>
  </conditionalFormatting>
  <conditionalFormatting sqref="D84:D91">
    <cfRule type="expression" dxfId="51" priority="94" stopIfTrue="1">
      <formula>$D84</formula>
    </cfRule>
    <cfRule type="expression" dxfId="50" priority="95">
      <formula>TRUE</formula>
    </cfRule>
  </conditionalFormatting>
  <conditionalFormatting sqref="D95:D102">
    <cfRule type="expression" dxfId="49" priority="92" stopIfTrue="1">
      <formula>$D95</formula>
    </cfRule>
    <cfRule type="expression" dxfId="48" priority="93">
      <formula>TRUE</formula>
    </cfRule>
  </conditionalFormatting>
  <conditionalFormatting sqref="D118:D124">
    <cfRule type="expression" dxfId="47" priority="84" stopIfTrue="1">
      <formula>$D118</formula>
    </cfRule>
    <cfRule type="expression" dxfId="46" priority="85">
      <formula>TRUE</formula>
    </cfRule>
  </conditionalFormatting>
  <conditionalFormatting sqref="D128:D134">
    <cfRule type="expression" dxfId="45" priority="82" stopIfTrue="1">
      <formula>$D128</formula>
    </cfRule>
    <cfRule type="expression" dxfId="44" priority="83">
      <formula>TRUE</formula>
    </cfRule>
  </conditionalFormatting>
  <conditionalFormatting sqref="D148:D155">
    <cfRule type="expression" dxfId="43" priority="78" stopIfTrue="1">
      <formula>$D148</formula>
    </cfRule>
    <cfRule type="expression" dxfId="42" priority="79">
      <formula>TRUE</formula>
    </cfRule>
  </conditionalFormatting>
  <conditionalFormatting sqref="D159:D166">
    <cfRule type="expression" dxfId="41" priority="76" stopIfTrue="1">
      <formula>$D159</formula>
    </cfRule>
    <cfRule type="expression" dxfId="40" priority="77">
      <formula>TRUE</formula>
    </cfRule>
  </conditionalFormatting>
  <conditionalFormatting sqref="D184:D189">
    <cfRule type="expression" dxfId="39" priority="70" stopIfTrue="1">
      <formula>$D184</formula>
    </cfRule>
    <cfRule type="expression" dxfId="38" priority="71">
      <formula>TRUE</formula>
    </cfRule>
  </conditionalFormatting>
  <conditionalFormatting sqref="D193:D196">
    <cfRule type="expression" dxfId="37" priority="68" stopIfTrue="1">
      <formula>$D193</formula>
    </cfRule>
    <cfRule type="expression" dxfId="36" priority="69">
      <formula>TRUE</formula>
    </cfRule>
  </conditionalFormatting>
  <conditionalFormatting sqref="D200:D203">
    <cfRule type="expression" dxfId="35" priority="64" stopIfTrue="1">
      <formula>$D200</formula>
    </cfRule>
    <cfRule type="expression" dxfId="34" priority="65">
      <formula>TRUE</formula>
    </cfRule>
  </conditionalFormatting>
  <conditionalFormatting sqref="D207:D211">
    <cfRule type="expression" dxfId="33" priority="62" stopIfTrue="1">
      <formula>$D207</formula>
    </cfRule>
    <cfRule type="expression" dxfId="32" priority="63">
      <formula>TRUE</formula>
    </cfRule>
  </conditionalFormatting>
  <conditionalFormatting sqref="D215:D222">
    <cfRule type="expression" dxfId="31" priority="60" stopIfTrue="1">
      <formula>$D215</formula>
    </cfRule>
    <cfRule type="expression" dxfId="30" priority="61">
      <formula>TRUE</formula>
    </cfRule>
  </conditionalFormatting>
  <conditionalFormatting sqref="D226:D231">
    <cfRule type="expression" dxfId="29" priority="56" stopIfTrue="1">
      <formula>$D226</formula>
    </cfRule>
    <cfRule type="expression" dxfId="28" priority="57">
      <formula>TRUE</formula>
    </cfRule>
  </conditionalFormatting>
  <conditionalFormatting sqref="D235:D241">
    <cfRule type="expression" dxfId="27" priority="54" stopIfTrue="1">
      <formula>$D235</formula>
    </cfRule>
    <cfRule type="expression" dxfId="26" priority="55">
      <formula>TRUE</formula>
    </cfRule>
  </conditionalFormatting>
  <conditionalFormatting sqref="D245:D253">
    <cfRule type="expression" dxfId="25" priority="50" stopIfTrue="1">
      <formula>$D245</formula>
    </cfRule>
    <cfRule type="expression" dxfId="24" priority="51">
      <formula>TRUE</formula>
    </cfRule>
  </conditionalFormatting>
  <conditionalFormatting sqref="D257:D267">
    <cfRule type="expression" dxfId="23" priority="48" stopIfTrue="1">
      <formula>$D257</formula>
    </cfRule>
    <cfRule type="expression" dxfId="22" priority="49">
      <formula>TRUE</formula>
    </cfRule>
  </conditionalFormatting>
  <conditionalFormatting sqref="D271:D281">
    <cfRule type="expression" dxfId="21" priority="46" stopIfTrue="1">
      <formula>$D271</formula>
    </cfRule>
    <cfRule type="expression" dxfId="20" priority="47">
      <formula>TRUE</formula>
    </cfRule>
  </conditionalFormatting>
  <conditionalFormatting sqref="D313:D321">
    <cfRule type="expression" dxfId="19" priority="40" stopIfTrue="1">
      <formula>$D313</formula>
    </cfRule>
    <cfRule type="expression" dxfId="18" priority="41">
      <formula>TRUE</formula>
    </cfRule>
  </conditionalFormatting>
  <conditionalFormatting sqref="D325:D333">
    <cfRule type="expression" dxfId="17" priority="38" stopIfTrue="1">
      <formula>$D325</formula>
    </cfRule>
    <cfRule type="expression" dxfId="16" priority="39">
      <formula>TRUE</formula>
    </cfRule>
  </conditionalFormatting>
  <conditionalFormatting sqref="D348:D361">
    <cfRule type="expression" dxfId="15" priority="36" stopIfTrue="1">
      <formula>$D348</formula>
    </cfRule>
    <cfRule type="expression" dxfId="14" priority="37">
      <formula>TRUE</formula>
    </cfRule>
  </conditionalFormatting>
  <conditionalFormatting sqref="D365:D368">
    <cfRule type="expression" dxfId="13" priority="31" stopIfTrue="1">
      <formula>$D365</formula>
    </cfRule>
    <cfRule type="expression" dxfId="12" priority="32">
      <formula>TRUE</formula>
    </cfRule>
  </conditionalFormatting>
  <conditionalFormatting sqref="D372:D376">
    <cfRule type="expression" dxfId="11" priority="29" stopIfTrue="1">
      <formula>$D372</formula>
    </cfRule>
    <cfRule type="expression" dxfId="10" priority="30">
      <formula>TRUE</formula>
    </cfRule>
  </conditionalFormatting>
  <conditionalFormatting sqref="D380:D385">
    <cfRule type="expression" dxfId="9" priority="27" stopIfTrue="1">
      <formula>$D380</formula>
    </cfRule>
    <cfRule type="expression" dxfId="8" priority="28">
      <formula>TRUE</formula>
    </cfRule>
  </conditionalFormatting>
  <conditionalFormatting sqref="D389:D394">
    <cfRule type="expression" dxfId="7" priority="23" stopIfTrue="1">
      <formula>$D389</formula>
    </cfRule>
    <cfRule type="expression" dxfId="6" priority="24">
      <formula>TRUE</formula>
    </cfRule>
  </conditionalFormatting>
  <conditionalFormatting sqref="D415:D422">
    <cfRule type="expression" dxfId="5" priority="15" stopIfTrue="1">
      <formula>$D415</formula>
    </cfRule>
    <cfRule type="expression" dxfId="4" priority="16">
      <formula>TRUE</formula>
    </cfRule>
  </conditionalFormatting>
  <conditionalFormatting sqref="D432:D434">
    <cfRule type="expression" dxfId="3" priority="11" stopIfTrue="1">
      <formula>$D432</formula>
    </cfRule>
    <cfRule type="expression" dxfId="2" priority="12">
      <formula>TRUE</formula>
    </cfRule>
  </conditionalFormatting>
  <conditionalFormatting sqref="D438:D445">
    <cfRule type="expression" dxfId="1" priority="9" stopIfTrue="1">
      <formula>$D438</formula>
    </cfRule>
    <cfRule type="expression" dxfId="0" priority="10">
      <formula>TRUE</formula>
    </cfRule>
  </conditionalFormatting>
  <pageMargins left="0.7" right="0.7" top="0.75" bottom="0.75" header="0.3" footer="0.3"/>
  <pageSetup orientation="portrait" r:id="rId1"/>
  <tableParts count="4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444</v>
      </c>
    </row>
    <row r="2" spans="1:2" ht="22.5" customHeight="1">
      <c r="A2" s="4"/>
    </row>
    <row r="3" spans="1:2">
      <c r="A3" t="s">
        <v>442</v>
      </c>
    </row>
    <row r="4" spans="1:2">
      <c r="A4" t="s">
        <v>443</v>
      </c>
    </row>
    <row r="5" spans="1:2">
      <c r="A5" t="s">
        <v>445</v>
      </c>
    </row>
    <row r="6" spans="1:2">
      <c r="A6" s="11"/>
    </row>
    <row r="7" spans="1:2">
      <c r="A7" t="s">
        <v>438</v>
      </c>
      <c r="B7" s="14">
        <v>5.7905521136680698E-3</v>
      </c>
    </row>
    <row r="8" spans="1:2">
      <c r="A8" t="s">
        <v>437</v>
      </c>
      <c r="B8" s="14">
        <v>-5.3705137962931797E-2</v>
      </c>
    </row>
    <row r="9" spans="1:2">
      <c r="A9" t="s">
        <v>436</v>
      </c>
      <c r="B9" s="14">
        <v>-11.917287699337001</v>
      </c>
    </row>
    <row r="10" spans="1:2">
      <c r="A10" t="s">
        <v>439</v>
      </c>
      <c r="B10" s="14">
        <f>B7 / -B8</f>
        <v>0.10782119427129687</v>
      </c>
    </row>
    <row r="11" spans="1:2">
      <c r="A11" t="s">
        <v>440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441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454</v>
      </c>
      <c r="B1" t="s">
        <v>453</v>
      </c>
      <c r="E1" s="16" t="s">
        <v>455</v>
      </c>
      <c r="F1" s="16"/>
    </row>
    <row r="2" spans="1:6">
      <c r="A2" t="s">
        <v>446</v>
      </c>
      <c r="B2">
        <v>349</v>
      </c>
      <c r="E2" s="17" t="s">
        <v>458</v>
      </c>
      <c r="F2" s="17"/>
    </row>
    <row r="3" spans="1:6" ht="15" thickBot="1">
      <c r="A3" t="s">
        <v>447</v>
      </c>
      <c r="B3">
        <v>329</v>
      </c>
    </row>
    <row r="4" spans="1:6" ht="15" thickBot="1">
      <c r="A4" t="s">
        <v>448</v>
      </c>
      <c r="B4">
        <v>249</v>
      </c>
      <c r="E4" s="16" t="s">
        <v>456</v>
      </c>
      <c r="F4" s="16" t="s">
        <v>457</v>
      </c>
    </row>
    <row r="5" spans="1:6">
      <c r="A5" t="s">
        <v>449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450</v>
      </c>
      <c r="B6">
        <v>179</v>
      </c>
      <c r="E6" t="str">
        <v>Sony WF-1000XM5 Wireless Earbuds</v>
      </c>
      <c r="F6">
        <v>299</v>
      </c>
    </row>
    <row r="7" spans="1:6">
      <c r="A7" t="s">
        <v>451</v>
      </c>
      <c r="B7">
        <v>99</v>
      </c>
    </row>
    <row r="8" spans="1:6">
      <c r="A8" t="s">
        <v>452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XABuAEYAYQBjAHQAbwByAGkAYQBsAEEAbABnAG8AcgBpAHQAaABtAHMAIAA9ACAATABBAE0AQgBEAEEAKABpAG4AcAB1AHQALAAgAG0AbwBkAGUALAAgAGkAdABlAHIAcwAsACAAcgBlAHAAZQBhAHQAcwAsAFwAbgAgACAAIAAgAEwARQBUACgAXABuACAAIAAgACAAIAAgACAAIAAvAC8AIABNAGEAcAAgAHQAaABlACAAbwB1AHQAZQByACAAcgBlAHAAZQBhAHQAcwAgAGwAbwBvAHAAXABuACAAIAAgACAAIAAgACAAIABiAGEAdABjAGgAXwB0AGkAbQBlAHMALAAgAE0AQQBQACgAUwBFAFEAVQBFAE4AQwBFACgAcgBlAHAAZQBhAHQAcwApACwAIABMAEEATQBCAEQAQQAoAHIALABcAG4AIAAgACAAIAAgACAAIAAgACAAIAAgACAATABFAFQAKABcAG4AIAAgACAAIAAgACAAIAAgACAAIAAgACAAIAAgACAAIABzAHQAYQByAHQALAAgAE4ATwBXACgAKQAsAFwAbgAgACAAIAAgACAAIAAgACAAIAAgACAAIAAgACAAIAAgAFwAbgAgACAAIAAgACAAIAAgACAAIAAgACAAIAAgACAAIAAgAC8ALwAgAE0AYQBwACAAdABoAGUAIABpAG4AbgBlAHIAIABlAHgAZQBjAHUAdABpAG8AbgAgAGwAbwBvAHAAXABuACAAIAAgACAAIAAgACAAIAAgACAAIAAgACAAIAAgACAAcgB1AG4ALAAgAEkARgAoAG0AbwBkAGUAIAA9ACAAXAAiAEwAZQBnAGUAbgBkAHIAZQBcACIALAAgAFwAbgAgACAAIAAgACAAIAAgACAAIAAgACAAIAAgACAAIAAgACAAIAAgACAAIAAgACAAIABNAEEAUAAoAFMARQBRAFUARQBOAEMARQAoAGkAdABlAHIAcwApACwAIABMAEEATQBCAEQAQQAoAGkALAAgAEIAaQBnAEkAbgB0AC4ARgBhAGMAdAAoAGkAbgBwAHUAdAApACkAKQAsAFwAbgAgACAAIAAgACAAIAAgACAAIAAgACAAIAAgACAAIAAgACAAIAAgACAAIAAgACAAIABNAEEAUAAoAFMARQBRAFUARQBOAEMARQAoAGkAdABlAHIAcwApACwAIABMAEEATQBCAEQAQQAoAGkALAAgAEIAaQBnAEkAbgB0AC4ARgBhAGMAdABTAHcAaQBuAGcAKABpAG4AcAB1AHQ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EAIABhAHIAcgBhAHkAIABvAGYAIAB0AGUAcwB0ACAAaQBuAHAAdQB0AHMAXABuACAAKgAgAEAAcABhAHIAYQBtACAAaQB0AGUAcgBzACAATgB1AG0AYgBlAHIAIABvAGYAIABpAHQAZQByAGEAdABpAG8AbgBzACAAcABlAHIAIABzAGEAbQBwAGwAZQAgAHQAbwAgAHMAbQBvAG8AdABoACAATgBPAFcAKAApACAAcgBlAHMAbwBsAHUAdABpAG8AbgAuAFwAbgAgACoAIABAAHAAYQByAGEAbQAgAHIAZQBwAGUAYQB0AHMAIABOAHUAbQBiAGUAcgAgAG8AZgAgAGkAdABlAHIAYQB0AGkAbwBuAHMAIABwAGUAcgAgAGIAZQBuAGMAaABtAGEAcgBrACAAdABvACAAcwBtAG8AbwB0AGgAIABPAFMAIABhAG4AZAAgAGIAYQBjAGsAZwByAG8AdQBuAGQAIABuAG8AaQBzAGUALgBcAG4AIAAqAC8AXABuAEYAYQBjAHQAbwByAGkAYQBsAEMAbwBtAHAAYQByAGkAcwBvAG4AIAA9ACAATABBAE0AQgBEAEEAKAB0AGUAcwB0AF8AYwBhAHMAZQBzACwAIABpAHQAZQByAHMALAAgAHIAZQBwAGUAYQB0AHMALABcAG4AIAAgACAAIABMAEUAVAAoAFwAbgAgACAAIAAgACAAIAAgACAAbgBfAHQAZQBzAHQAcwAsACAAUgBPAFcAUwAoAHQAZQBzAHQAXwBjAGEAcwBlAHMAKQAsAFwAbgAgACAAIAAgACAAIAAgACAAXABuACAAIAAgACAAIAAgACAAIAAvAC8AIABJAG4AaQB0AGkAYQBsACAAcwB0AGEAdABlADoAIABEAGEAdABhACAAaABlAGEAZABlAHIAcwAgAGYAbwByACAAQwBTAFYAIABlAHgAcABvAHIAdABcAG4AIAAgACAAIAAgACAAIAAgAGkAbgBpAHQAaQBhAGwALAAgAHsAXAAiAE4AXAAiACwAIABcACIATABlAGcAZQBuAGQAcgBlAFwAIgAsACAAXAAiAFMAdwBpAG4AZwBcACIAfQAsAFwAbgAgACAAIAAgACAAIAAgACAAXABuACAAIAAgACAAIAAgACAAIABSAEUARABVAEMARQAoAGkAbgBpAHQAaQBhAGwALAAgAFMARQBRAFUARQBOAEMARQAoAG4AXwB0AGUAcwB0AHMAKQAsACAATABBAE0AQgBEAEEAKABhAGMAYwAsACAAaQAsAFwAbgAgACAAIAAgACAAIAAgACAAIAAgACAAIABMAEUAVAAoAFwAbgAgACAAIAAgACAAIAAgACAAIAAgACAAIAAgACAAIAAgAGkAbgBwAHUAdAAsACAASQBOAEQARQBYACgAdABlAHMAdABfAGMAYQBzAGUAcwAsACAAaQAsACAAMQApACwAXABuACAAIAAgACAAIAAgACAAIAAgACAAIAAgACAAIAAgACAALwAvACAARQB4AGUAYwB1AHQAZQAgAGIAZQBuAGMAaABtAGEAcgBrAHMAIABzAHQAcgBpAGMAdABsAHkAIABvAG4AZQAgAGEAZgB0AGUAcgAgAHQAaABlACAAbwB0AGgAZQByAFwAbgAgACAAIAAgACAAIAAgACAAIAAgACAAIAAgACAAIAAgAHQAaQBtAGUAXwBsAGUAZwBlAG4AZAByAGUALAAgAEYAYQBjAHQAbwByAGkAYQBsAEEAbABnAG8AcgBpAHQAaABtAHMAKABpAG4AcAB1AHQALAAgAFwAIgBMAGUAZwBlAG4AZAByAGUAXAAiACwAIABpAHQAZQByAHMALAAgAHIAZQBwAGUAYQB0AHMAKQAsAFwAbgAgACAAIAAgACAAIAAgACAAIAAgACAAIAAgACAAIAAgAHQAaQBtAGUAXwBzAHcAaQBuAGcALAAgAEYAYQBjAHQAbwByAGkAYQBsAEEAbABnAG8AcgBpAHQAaABtAHMAKABpAG4AcAB1AHQALAAgAFwAIgBTAHcAaQBuAGcAXAAiACwAIABpAHQAZQByAHMALAAgAHIAZQBwAGUAYQB0AHMAKQAsAFwAbgAgACAAIAAgACAAIAAgACAAIAAgACAAIAAgACAAIAAgAFwAbgAgACAAIAAgACAAIAAgACAAIAAgACAAIAAgACAAIAAgAC8ALwAgAEEAcABwAGUAbgBkACAAdABoAGUAIAByAGUAcwB1AGwAdABzAC4AIABcAG4AIAAgACAAIAAgACAAIAAgACAAIAAgACAAIAAgACAAIAAvAC8AIABSAGUAYQBsAGwAbwBjAGEAdABpAG8AbgAgAGQAZQBsAGEAeQAgAG8AYwBjAHUAcgBzACAAaABlAHIAZQAsACAAcwBhAGYAZQBsAHkAIABvAHUAdABzAGkAZABlACAAdABoAGUAIAB0AGkAbQBlAGQAIAB3AGkAbgBkAG8AdwAuAFwAbgAgACAAIAAgACAAIAAgACAAIAAgACAAIAAgACAAIAAgAFYAUwBUAEEAQwBLACgAYQBjAGMALAAgAEgAUwBUAEEAQwBLACgAaQBuAHAAdQB0ACwAIAB0AGkAbQBlAF8AbABlAGcAZQBuAGQAcgBlACwAIAB0AGkAbQBlAF8AcwB3AGkAbgBnACkAKQBcAG4AIAAgACAAIAAgACAAIAAgACAAIAAgACAAKQBcAG4AIAAgACAAIAAgACAAIAAgACkAKQBcAG4AIAAgACAAIAApAFwAbgApADs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FIAZQB0AHUAcgBuAHMAIABtAGEAeAAgAHMAYQBmAGUAIABiAGEAcwBlAC0AMQAwACAAbABpAG0AYgAgAHMAaQB6AGUAIAAoAGsAKQAgAHQAbwAgAHAAcgBlAHYAZQBuAHQAIABJAEUARQBFAC0ANwA1ADQAIABwAHIAZQBjAGkAcwBpAG8AbgAgAGwAbwBzAHMALgBcAG4AIAAqACAAWwBvAHAAZQByAGEAdABpAG8AbgA6ACAAVABlAHgAdAAsACAAbwBwAGUAcgBhAG4AZABfAG8AcgBfAGQAaQBnAGkAdABzADoAIABpAG4AdABdAFwAbgAgACoALwBcAG4AUwBhAGYAZQBLACAAPQAgAEwAQQBNAEIARABBACgAbwBwAGUAcgBhAHQAaQBvAG4ALAAgAFsAbwBwAGUAcgBhAG4AZABfAG8AcgBfAGQAaQBnAGkAdABzAF0ALABcAG4AIAAgACAAIABMAEUAVAAoAFwAbgAgACAAIAAgACAAIAAgACAAcgBlAHMAbwBsAHYAZQBkAF8AYwBvAHUAbgB0ACwAIABJAEYAKABPAFIAKABvAHAAZQByAGEAbgBkAF8AbwByAF8AZABpAGcAaQB0AHMAIAA9ACAAXAAiAFwAIgAsACAASQBTAE8ATQBJAFQAVABFAEQAKABvAHAAZQByAGEAbgBkAF8AbwByAF8AZABpAGcAaQB0AHMAKQApACwAIAAyACwAIABNAEEAWAAoADIALAAgAG8AcABlAHIAYQBuAGQAXwBvAHIAXwBkAGkAZwBpAHQAcwApACkALABcAG4AXABuACAAIAAgACAAIAAgACAAIABTAFcASQBUAEMASAAoAG8AcABlAHIAYQB0AGkAbwBuACwAXABuACAAIAAgACAAIAAgACAAIAAgACAAIAAgAFwAIgBBAEQARABcACIALAAgADEANQAgAC0AIABMAEUATgAoAHIAZQBzAG8AbAB2AGUAZABfAGMAbwB1AG4AdAApACwAXABuAFwAbgAgACAAIAAgACAAIAAgACAAIAAgACAAIABcACIATQBVAEwAXAAiACwAIABMAEUAVAAoAFwAbgAgACAAIAAgACAAIAAgACAAIAAgACAAIAAgACAAIAAgAHQAZQBzAHQAXwBrACwAIAB7ADcAOwAgADYAOwAgADUAOwAgADQAOwAgADMAOwAgADIAOwAgADEAfQAsAFwAbgBcAG4AIAAgACAAIAAgACAAIAAgACAAIAAgACAAIAAgACAAIABtAGEAeABfAG8AdgBlAHIAbABhAHAALAAgAFIATwBVAE4ARABVAFAAKAByAGUAcwBvAGwAdgBlAGQAXwBjAG8AdQBuAHQAIAAvACAAdABlAHMAdABfAGsALAAgADAAKQAsAFwAbgBcAG4AIAAgACAAIAAgACAAIAAgACAAIAAgACAAIAAgACAAIAAvAC8AIABEAGUAdABlAHIAbQBpAG4AZQAgAGsAIABiAHkAIABzAGkAbQB1AGwAYQB0AGkAbgBnACAAdABoAGUAIAB3AG8AcgBzAHQALQBjAGEAcwBlACAAYwBvAG4AdgBvAGwAdQB0AGkAbwBuACAAcABlAGEAawAgAHQAbwAgAHAAcgBlAHYAZQBuAHQAIABJAEUARQBFAC0ANwA1ADQAIABwAHIAZQBjAGkAcwBpAG8AbgAgAGIAbABlAGUAZABpAG4AZwAuAFwAbgAgACAAIAAgACAAIAAgACAAIAAgACAAIAAgACAAIAAgAC8ALwAgAFAAZQBhAGsAIAB2AGEAbAB1AGUAIABpAG4AYwBsAHUAZABlAHMAIAB0AGgAZQAgAG0AYQB4AGkAbQB1AG0AIABwAG8AcwBzAGkAYgBsAGUAIAB1AG4AYwBhAHIAcgBpAGUAZAAgAHAAcgBvAGQAdQBjAHQAIABwAGwAdQBzACAAdABoAGUAIABtAGEAeABpAG0AdQBtACAAcABvAHQAZQBuAHQAaQBhAGwAIABjAGEAcgByAHkALg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FwAbgAgACAAIAAgACAAIAAgACAAIAAgACAAIAAgACAAIAAgAC8ALwAgAFIAZQB0AHUAcgBuACAAdABoAGUAIABtAGEAeAAgAGsAIAA8AD0AIABFAHgAYwBlAGwAJwBzACAAMQA1AC0AZABpAGcAaQB0ACAAYwBlAGkAbABpAG4AZwBcAG4AIAAgACAAIAAgACAAIAAgACAAIAAgACAAIAAgACAAIABNAEEAWAAoAEYASQBMAFQARQBSACgAdABlAHMAdABfAGsALAAgAHAAZQBhAGsAXwB2AGEAbAAgADwAPQAgACgAMQAwAF4AMQA1ACAALQAgADEAKQApACkAXABuACAAIAAgACAAIAAgACAAIAAgACAAIAAgACkALABcAG4AXABuACAAIAAgACAAIAAgACAAIAAgACAAIAAgAFwAIgBEAEkAVgBcACIALAAgADcALABcAG4AIAAgACAAIAAgACAAIAAgACAAIAAgACAAIwBOAEEATQBFAD8AXABuACAAIAAgACAAIAAgACAAIAApAFwAbgAgACAAIAAgACkAXABuACkAOwBcAG4AXABuAC8AKgAqAFwAbgAgACoAIABbAEkAbgB0AGUAcgBuAGEAbABdACAAUwBwAGwAaQB0AHMAIABzAHQAcgBpAG4AZwBzACAAbwByACAAYQByAHIAYQB5AHMAIABpAG4AdABvACAATABpAHQAdABsAGUALQBFAG4AZABpAGEAbgAgAG4AdQBtAGUAcgBpAGMAIABsAGkAbQBiACAAYQByAHIAYQB5AHMALgBcAG4AIAAqACAAWwBzAHQAcgBfAG4AbwByAG0AcwA6ACAAVABlAHgAdAAvAEEAcgByAGEAeQAsACAAawA6ACAAaQBuAHQAXQBcAG4AIAAqAC8AXABuAFMAcABsAGkAdAAgAD0AIABMAEEATQBCAEQAQQAoAHMAdAByAF8AbgBvAHIAbQBzACwAIABrACwAXABuACAAIAAgACAATABFAFQAKABcAG4AIAAgACAAIAAgACAAIAAgAGYAbABhAHQAdABlAG4AZQBkAF8AbgBvAHIAbQBzACwAIABUAE8AUgBPAFcAKABzAHQAcgBfAG4AbwByAG0AcwApACwAXABuACAAIAAgACAAIAAgACAAIABsAGUAbgBnAHQAaABzACwAIABMAEUATgAoAGYAbABhAHQAdABlAG4AZQBkAF8AbgBvAHIAbQBzACkALABcAG4AIAAgACAAIAAgACAAIAAgAG0AYQB4AF8AbABlAG4ALAAgAE0AQQBYACgAbABlAG4AZwB0AGgAcwApACwAXABuACAAIAAgACAAIAAgACAAIABwAGEAZABfAGwAZQBuACwAIABSAE8AVQBOAEQAVQBQACgAbQBhAHgAXwBsAGUAbgAgAC8AIABrACwAIAAwACkAIAAqACAAawAsAFwAbgBcAG4AIAAgACAAIAAgACAAIAAgAHAAYQBkAGQAZQBkAF8AbgBvAHIAbQBzACwAIABSAEUAUABUACgAXAAiADAAXAAiACwAIABwAGEAZABfAGwAZQBuACAALQAgAGwAZQBuAGcAdABoAHMAKQAgACYAIABmAGwAYQB0AHQAZQBuAGUAZABfAG4AbwByAG0AcwAsAFwAbgAgACAAIAAgACAAIAAgACAAbABpAG0AYgBfAHMAdABhAHIAdABfAGkAbgBkAGkAYwBlAHMALAAgAFMARQBRAFUARQBOAEMARQAoAHAAYQBkAF8AbABlAG4AIAAvACAAawAsACAAMQAsACAAcABhAGQAXwBsAGUAbgAgAC0AIABrACAAKwAgADEALAAgAC0AawApACwAXABuAFwAbgAgACAAIAAgACAAIAAgACAALQAtAE0ASQBEACgAcABhAGQAZABlAGQAXwBuAG8AcgBtAHMALAAgAGwAaQBtAGIAXwBzAHQAYQByAHQAXwBpAG4AZABpAGMAZQBzACwAIABrACkAXABuACAAIAAgACAAKQBcAG4AKQA7AFwAbgBcAG4ALwAqACoAXABuACAAKgAgAFsASQBuAHQAZQByAG4AYQBsAF0AIABNAGUAcgBnAGUAcwAgAEwAaQB0AHQAbABlAC0ARQBuAGQAaQBhAG4AIABsAGkAbQBiACAAYQByAHIAYQB5AHMAIABpAG4AdABvACAAYQAgAEIAaQBnAC0ARQBuAGQAaQBhAG4AIABCAGkAZwBJAG4AdAAgAHMAdAByAGkAbgBnAC4AXABuACAAKgAgAFsAbABpAG0AYgBzADoAIABBAHIAcgBhAHkALAAgAGsAOgAgAGkAbgB0AF0AXABuACAAKgAvAFwAbgBNAGUAcgBnAGUAIAA9ACAATABBAE0AQgBEAEEAKABsAGkAbQBiAHMALAAgAGsALABcAG4AIAAgACAAIABMAEUAVAAoAFwAbgAgACAAIAAgACAAIAAgACAAbgB1AG0AXwBsAGkAbQBiAHMALAAgAFIATwBXAFMAKABsAGkAbQBiAHMAKQAsAFwAbgAgACAAIAAgACAAIAAgACAAcgBlAHYAXwBsAGkAbQBiAHMALAAgAEMASABPAE8AUwBFAFIATwBXAFMAKABsAGkAbQBiAHMALAAgAFMARQBRAFUARQBOAEMARQAoAG4AdQBtAF8AbABpAG0AYgBzACwAIAAxACwAIABuAHUAbQBfAGwAaQBtAGIAcwAsACAALQAxACkAKQAsAFwAbg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bAGwAaQBtAGIAcwA6ACAAQQByAHIAYQB5ACwAIABrADoAIABpAG4AdABdAFwAbgAgACoALwBcAG4AQwBhAHIAcgB5ACAAPQAgAEwAQQBNAEIARABBACgAbABpAG0AYgBzACwAIABrACwAXABuACAAIAAgACAATABFAFQAKABcAG4AIAAgACAAIAAgACAAIAAgAG4AdQBtAF8AbABpAG0AYgBzACwAIABSAE8AVwBTACgAbABpAG0AYgBzACkALABcAG4AIAAgACAAIAAgACAAIAAgAHIAYQBkAGkAeABfAGIAYQBzAGUALAAgADEAMABeAGsALABcAG4AIAAgACAAIAAgACAAIAAgAC8ALwAgAFMAQwBBAE4AIABzAGkAbQB1AGwAYQB0AGUAcwAgAHQAaABlACAAcwBlAHIAaQBhAGwAIABwAHIAbwBwAGEAZwBhAHQAaQBvAG4AIABvAGYAIABjAGEAcgByAGkAZQBzACAAdABoAHIAbwB1AGcAaAAgAHQAaABlACAAYQByAHIAYQB5ACAAaQBuACAAYQAgAHMAaQBuAGcAbABlACAAdgBlAGMAdABvAHIAaQB6AGUAZAAgAHAAYQBzAHMALgBcAG4AIAAgACAAIAAgACAAIAAgAGEAcgByAF8AYwBhAHIAcgBpAGUAcwAsACAAUwBDAEEATgAoADAALAAgAGwAaQBtAGIAcwAsACAATABBAE0AQgBEAEEAKABhAGMAYwAsACAAdgBhAGwALAAgAHYAYQBsACAAKwAgAEkATgBUACgAYQBjAGMAIAAvACAAcgBhAGQAaQB4AF8AYgBhAHMAZQApACkAKQAsAFwAbgAgACAAIAAgACAAIAAgACAAcgBlAG0AYQBpAG4AZABlAHIAcwAsACAATQBPAEQAKABhAHIAcgBfAGMAYQByAHIAaQBlAHMALAAgAHIAYQBkAGkAeABfAGIAYQBzAGUAKQAsAFwAbgAgACAAIAAgACAAIAAgACAAZgBpAG4AYQBsAF8AYwBhAHIAcgB5ACwAIABJAE4AVAAoAEkATgBEAEUAWAAoAGEAcgByAF8AYwBhAHIAcgBpAGUAcwAsACAAbgB1AG0AXwBsAGkAbQBiAHMALAAgADEAKQAgAC8AIAByAGEAZABpAHgAXw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UgBlAHQAdQByAG4AcwAgADEAIAAoAGEAIAA+ACAAYgApACwAIAAtADEAIAAoAGEAIAA8ACAAYgApACwAIABvAHIAIAAwACAAKABhACAAPQAgAGIAKQAgAGYAbwByACAAdQBuAHMAaQBnAG4AZQBkACAAbABpAG0AYgAgAGEAcgByAGEAeQBzAC4AXABuACAAKgAgAFsAbABpAG0AYgBzAF8AYQA6ACAAQQByAHIAYQB5ACwAIABsAGkAbQBiAHMAXwBiADoAIABBAHIAcgBhAHkAXQBcAG4AIAAqAC8AXABuAFUAQwBvAG0AcABhAHIAZQAgAD0AIABMAEEATQBCAEQAQQAoAGwAaQBtAGIAcwBfAGEALAAgAGwAaQBtAGIAcwBfAGIALABcAG4AIAAgACAAIABMAEUAVAAoAFwAbgAgACAAIAAgACAAIAAgACAAbQBhAHgAXwByAG8AdwBzACwAIABNAEEAWAAoAFIATwBXAFMAKABsAGkAbQBiAHMAXwBhACkALAAgAFIATwBXAFMAKABsAGkAbQBiAHMAXwBiACkAKQAsAFwAbgAgACAAIAAgACAAIAAgACAAbABpAG0AYgBzAF8AYQBfAGEAbABpAGcAbgBlAGQALAAgAEUAWABQAEEATgBEACgAbABpAG0AYgBzAF8AYQAsACAAbQBhAHgAXwByAG8AdwBzACwAIAAxACwAIAAwACkALABcAG4AIAAgACAAIAAgACAAIAAgAGwAaQBtAGIAcwBfAGIAXwBhAGwAaQBnAG4AZQBkACwAIABFAFgAUABBAE4ARAAoAGwAaQBtAGIAcwBfAGIALAAgAG0AYQB4AF8AcgBvAHcAcwAsACAAMQAsACAAMAApACwAXABuAFwAbgAgACAAIAAgACAAIAAgACAAZABpAGYAZgBlAHIAZQBuAGMAZQBzACwAIABsAGkAbQBiAHMAXwBhAF8AYQBsAGkAZwBuAGUAZAAgAC0AIABsAGkAbQBiAHMAXwBiAF8AYQBsAGkAZwBuAGUAZAAsAFwAbgAgACAAIAAgACAAIAAgACAALwAvACAAUwBlAGEAcgBjAGgAaQBuAGcAIABmAHIAbwBtACAAdABoAGUAIABiAG8AdAB0AG8AbQAgACgAaABpAGcAaABlAHMAdAAgAG0AYQBnAG4AaQB0AHUAZABlACkAIABlAG4AcwB1AHIAZQBzACAAdABoAGUAIABtAG8AcwB0ACAAcwBpAGcAbgBpAGYAaQBjAGEAbgB0ACAAZABpAGYAZgBlAHIAZQBuAGMAZQAgAGkAcwAgAGYAbwB1AG4AZAAgAGYAaQByAHMAdAAuAFwAbgAgACAAIAAgACAAIAAgACAAaABpAGcAaABlAHMAdABfAG4AbwBuAF8AegBlAHIAbwBfAGkAbgBkAGUAeAAsACAAWABNAEEAVABDAEgAKABUAFIAVQBFACwAIABkAGkAZgBmAGUAcgBlAG4AYwBlAHMAIAA8AD4AIAAwACwAIAAwACwAIAAtADEAKQAsAFwAbgBcAG4AIAAgACAAIAAgACAAIAAgAEkARgAoAEkAUwBOAEEAKABoAGkAZwBoAGUAcwB0AF8AbgBvAG4AXwB6AGUAcgBvAF8AaQBuAGQAZQB4ACkALAAgADAALAAgAFMASQBHAE4AKABJAE4ARABFAFgAKABkAGkAZgBmAGUAcgBlAG4AYwBlAHMALAAgAGgAaQBnAGgAZQBzAHQAXwBuAG8AbgBfAHoAZQByAG8AXwBpAG4AZABlAHgALAAgADEAKQApACkAXABuACAAIAAgACAAKQBcAG4AKQA7AFwAbgBcAG4ALwAqACoAXABuACAAKgAgAFsASQBuAHQAZQByAG4AYQBsAF0AIABSAGUAdAB1AHIAbgBzACAAdABoAGUAIABzAHUAbQAgAG8AZgAgAHQAdwBvACAAdQBuAHMAaQBnAG4AZQBkACAATABpAHQAdABsAGUALQBFAG4AZABpAGEAbgAgAGwAaQBtAGIAIABhAHIAcgBhAHkAcwAuAFwAbgAgACoAIABbAGEAOgAgAEEAcgByAGEAeQAsACAAYgA6ACAAQQByAHIAYQB5ACwAIABrADoAIABpAG4AdABdAFwAbgAgACoALwBcAG4AVQBBAGQAZAAgAD0AIABMAEEATQBCAEQAQQAoAGEALAAgAGIALAAgAGsALABcAG4AIAAgACAAIABMAEUAVAAoAFwAbgAgACAAIAAgACAAIAAgACAAbQBhAHgAXwByAG8AdwBzACwAIABNAEEAWAAoAFIATwBXAFMAKABhACkALAAgAFIATwBXAFMAKABiACkAKQAsAFwAbgAgACAAIAAgACAAIAAgACAAbABpAG0AYgBzAF8AYQBfAGEAbABpAGcAbgBlAGQALAAgAEUAWABQAEEATgBEACgAYQAsACAAbQBhAHgAXwByAG8AdwBzACwAIAAxACwAIAAwACkALABcAG4AIAAgACAAIAAgACAAIAAgAGwAaQBtAGIAcwBfAGIAXwBhAGwAaQBnAG4AZQBkACwAIABFAFgAUABBAE4ARAAoAGIALAAgAG0AYQB4AF8AcgBvAHcAcwAsACAAMQAsACAAMAApACwAXABuAFwAbgAgACAAIAAgACAAIAAgACAAQwBhAHIAcgB5ACgAbABpAG0AYgBzAF8AYQBfAGEAbABpAGcAbgBlAGQAIAArACAAbABpAG0AYgBzAF8AYgBfAGEAbABpAGcAbgBlAGQALAAgAGsAKQBcAG4AIAAgACAAIAApAFwAbgApADsAXABuAFwAbgAvACoAKgBcAG4AIAAqACAAWwBJAG4AdABlAHIAbgBhAGwAXQAgAFIAZQB0AHUAcgBuAHMAIAB0AGgAZQAgAGQAaQBmAGYAZQByAGUAbgBjAGUAIABvAGYAIAB1AG4AcwBpAGcAbgBlAGQAIABMAGkAdAB0AGwAZQAtAEUAbgBkAGkAYQBuACAAYQByAHIAYQB5AHMAIAAoAEEAIAAtACAAQgApAC4AIABBAHMAcwB1AG0AZQBzACAAQQAgAD4APQAgAEIALgBcAG4AIAAqACAAWwBsAGkAbQBiAHMAXwBhADoAIABBAHIAcgBhAHkALAAgAGwAaQBtAGIAcwBfAGIAOgAgAEEAcgByAGEAeQAsACAAawA6ACAAaQBuAHQAXQBcAG4AIAAqAC8AXABuAFUAUwB1AGIAIAA9ACAATABBAE0AQgBEAEEAKABsAGkAbQBiAHMAXwBhACwAIABsAGkAbQBiAHMAXwBiACwAIABrACwAXABuACAAIAAgACAATABFAFQAKABcAG4AIAAgACAAIAAgACAAIAAgAG0AYQB4AF8AcgBvAHcAcwAsACAATQBBAFgAKABSAE8AVwBTACgAbABpAG0AYgBzAF8AYQApACwAIABSAE8AVwBTACgAbABpAG0AYgBzAF8AYgApACkALABcAG4AIAAgACAAIAAgACAAIAAgAGwAaQBtAGIAcwBfAGEAXwBhAGwAaQBnAG4AZQBkACwAIABFAFgAUABBAE4ARAAoAGwAaQBtAGIAcwBfAGEALAAgAG0AYQB4AF8AcgBvAHcAcwAsACAAMQAsACAAMAApACwAXABuACAAIAAgACAAIAAgACAAIABsAGkAbQBiAHMAXwBiAF8AYQBsAGkAZwBuAGUAZAAsACAARQBYAFAAQQBOAEQAKABsAGkAbQBiAHMAXwBiACwAIABtAGEAeABfAHIAbwB3AHMALAAgADEALAAgADAAKQAsAFwAbgBcAG4AIAAgACAAIAAgACAAIAAgAGQAaQBmAGYAZQByAGUAbgBjAGUAcwAsACAAbABpAG0AYgBzAF8AYQBfAGEAbABpAGcAbgBlAGQAIAAtACAAbABpAG0AYgBzAF8AYgBfAGEAbABpAGcAbgBlAGQALABcAG4AIAAgACAAIAAgACAAIAAgAGMAYQByAHIAaQBlAGQAXwBkAGkAZgBmAGUAcgBlAG4AYwBlAHMALAAgAEMAYQByAHIAeQAoAGQAaQBmAGYAZQByAGUAbgBjAGUAcwAsACAAawApACwAXABuAFwAbgAgACAAIAAgACAAIAAgACAAaABpAGcAaABlAHMAdABfAG4AbwBuAF8AegBlAHIAbwBfAGkAbgBkAGUAeAAsACAAWABNAEEAVABDAEgAKABUAFIAVQBFACwAIABjAGEAcgByAGkAZQBkAF8AZABpAGYAZgBlAHIAZQBuAGMAZQBzACAAPAA+ACAAMAAsACAAMAAsACAALQAxACkALABcAG4AXABuACAAIAAgACAAIAAgACAAIABJAEYAKABJAFMATgBBACgAaABpAGcAaABlAHMAdABfAG4AbwBuAF8AegBlAHIAbwBfAGkAbgBkAGUAeAApACwAIAB7ADAAfQAsACAAVABBAEsARQAoAGMAYQByAHIAaQBlAGQAXwBkAGkAZgBmAGUAcgBlAG4AYwBlAHMALAAgAGgAaQBnAGgAZQBzAHQAXwBuAG8AbgBfAHoAZQByAG8AXwBpAG4AZABlAHgAKQApAFwAbgAgACAAIAAgACkAXABuACkAOwBcAG4AXABuAC8AKgAqAFwAbgAgACoAIABbAEkAbgB0AGUAcgBuAGEAbABdACAAUwB1AG0AcwAgAGEAIABoAG8AcgBpAHoAbwBuAHQAYQBsACAAYQByAHIAYQB5ACAAbwBmACAAQgBpAGcASQBuAHQAIABzAHQAcgBpAG4AZwBzACAAdgBpAGEAIAAyAEQAIABtAGEAdAByAGkAeAAgAGIAcgBvAGEAZABjAGEAcwB0AGkAbgBnAC4AXABuACAAKgAgAFsAcwB0AHIAXwBuAG8AcgBtAHMAOgAgAEEAcgByAGEAeQAsACAAawA6ACAAaQBuAHQAXQBcAG4AIAAqAC8AXABuAFUATQBhAHQAcgBpAHgAUwB1AG0AIAA9ACAATABBAE0AQgBEAEEAKABzAHQAcgBfAG4AbwByAG0AcwAsACAAawAsAFwAbgAgACAAIAAgAEwARQBUACgAXABuACAAIAAgACAAIAAgACAAIABnAHIAaQBkACwAIABTAHAAbABpAHQAKABzAHQAcgBfAG4AbwByAG0AcwAsACAAawApACwAXABuACAAIAAgACAAIAAgACAAIAByAGEAdwBfAGwAaQBtAGIAcwAsACAAQgBZAFIATwBXACgAZwByAGkAZAAsACAAUwBVAE0AKQAsAFwAbgBcAG4AIAAgACAAIAAgACAAIAAgAEMAYQByAHIAeQAoAHIAYQB3AF8AbABpAG0AYgBzACwAIABrACkAXABuACAAIAAgACAAKQBcAG4AKQA7AFwAbgBcAG4ALwAqACoAXABuACAAKgAgAFsASQBuAHQAZQByAG4AYQBsAF0AIABSAGUAdAB1AHIAbgBzACAAcABhAGMAawBlAGQAIABhAHIAcgBhAHkAOgAgAFsAbABpAG0AYgBzADsAIABmAGkAbgBhAGwAXwBzAGkAZwBuAF0ALgAgAFIAZQBzAG8AbAB2AGUAcwAgAHMAaQBnAG4AIABsAG8AZwBpAGMAIABmAG8AcgAgAEEAZABkAC8AUwB1AGIALgBcAG4AIAAqACAAWwBsAGkAbQBiAHMAXwBhADoAIABBAHIAcgBhAHkALAAgAGwAaQBtAGIAcwBfAGIAOgAgAEEAcgByAGEAeQAsACAAcwBpAGcAbgBfAGEAOgAgAGkAbgB0ACwAIABzAGkAZwBuAF8AYgA6ACAAaQBuAHQALAAgAGsAOgAgAGkAbgB0AF0AXABuACAAKgAvAFwAbgBBAGQAZABTAHUAYgBSAG8AdQB0AGUAcgAgAD0AIABMAEEATQBCAEQAQQAoAGwAaQBtAGIAcwBfAGEALAAgAGwAaQBtAGIAcwBfAGIALAAgAHMAaQBnAG4AXwBhACwAIABzAGkAZwBuAF8AYgAsACAAawAsAFwAbgAgACAAIAAgAEwARQBUACgAXABuACAAIAAgACAAIAAgACAAIABpAHMAXwBhAGQAZABpAHQAaQBvAG4ALAAgAHMAaQBnAG4AXwBhACAAPQAgAHMAaQBnAG4AXwBiACwAXABuAFwAbgAgACAAIAAgACAAIAAgACAASQBGACgAaQBzAF8AYQBkAGQAaQB0AGkAbwBuACwAXABuACAAIAAgACAAIAAgACAAIAAgACAAIAAgAFYAUwBUAEEAQwBLACgAVQBBAGQAZAAoAGwAaQBtAGIAcwBfAGEALAAgAGwAaQBtAGIAcwBfAGIALAAgAGsAKQAsACAAcwBpAGcAbgBfAGEAKQAsAFwAbgBcAG4AIAAgACAAIAAgACAAIAAgACAAIAAgACAATABFAFQAKABcAG4AIAAgACAAIAAgACAAIAAgACAAIAAgACAAIAAgACAAIABtAGEAZwBuAGkAdAB1AGQAZQBfAGMAbwBtAHAAYQByAGkAcwBvAG4ALAAgAFUAQwBvAG0AcABhAHIAZQAoAGwAaQBtAGIAcwBfAGEALAAgAGwAaQBtAGIAcwBfAGIAKQAsAFwAbgBcAG4AIAAgACAAIAAgACAAIAAgACAAIAAgACAAIAAgACAAIABJAEYAKABtAGEAZwBuAGkAdAB1AGQAZQBfAGMAbwBtAHAAYQByAGkAcwBvAG4AIAA9ACAAMAAsACAALwAvACAAVABvAHQAYQBsACAAYwBhAG4AYwBlAGwAbABhAHQAaQBvAG4AOgBcAG4AIAAgACAAIAAgACAAIAAgACAAIAAgACAAIAAgACAAIAAgACAAIAAgAC8ALwAgAEEAIAAyAC0AcgBvAHcAIABhAHIAcgBhAHkAIABbADAAOwAgADAAXQAgAGkAcwAgAHIAZQB0AHUAcgBuAGUAZAAgAHQAbwAgAHMAYQB0AGkAcwBmAHkAIAB0AGgAZQAgAHAAYQBjAGsAZQBkACAAWwBsAGkAbQBiAHMAOwAgAHMAaQBnAG4AXQAgAGMAbwBuAHQAcgBhAGMAdAAuAFwAbgAgACAAIAAgACAAIAAgACAAIAAgACAAIAAgACAAIAAgACAAIAAgACAAewAwADsAMAB9ACwAXABuAFwAbgAgACAAIAAgACAAIAAgACAAIAAgACAAIAAgACAAIAAgACAAIAAgACAASQBGACgAbQBhAGcAbgBpAHQAdQBkAGUAXwBjAG8AbQBwAGEAcgBpAHMAbwBuACAAPgAgADAALABcAG4AIAAgACAAIAAgACAAIAAgACAAIAAgACAAIAAgACAAIAAgACAAIAAgACAAIAAgACAALwAvACAAQQAgAGkAcwAgAGwAYQByAGcAZQByADoAIABzAGkAZwBuACAAYgBlAGwAbwBuAGcAcwAgAHQAbwAgAEEALgBcAG4AIAAgACAAIAAgACAAIAAgACAAIAAgACAAIAAgACAAIAAgACAAIAAgACAAIAAgACAAVgBTAFQAQQBDAEsAKABVAFMAdQBiACgAbABpAG0AYgBzAF8AYQAsACAAbABpAG0AYgBzAF8AYgAsACAAawApACwAIABzAGkAZwBuAF8AYQApACwAXABuAFwAbgAgACAAIAAgACAAIAAgACAAIAAgACAAIAAgACAAIAAgACAAIAAgACAAIAAgACAAIAAvAC8AIABCACAAaQBzACAAbABhAHIAZwBlAHIAOgAgAHIAbwB1AHQAZQAgAEIAIABmAGkAcgBzAHQALAAgAHMAaQBnAG4AIABiAGUAbABvAG4AZwBzACAAdABvACAAQgAuAFwAbgAgACAAIAAgACAAIAAgACAAIAAgACAAIAAgACAAIAAgACAAIAAgACAAIAAgACAAIABWAFMAVABBAEMASwAoAFUAUwB1AGIAKABsAGkAbQBiAHMAXwBiACwAIABsAGkAbQBiAHMAXwBhACwAIABrACkALAAgAHMAaQBnAG4AXwBiACkAXABuACAAIAAgACAAIAAgACAAIAAgACAAIAAgACAAIAAgACAAIAAgACAAIAApAFwAbgAgACAAIAAgACAAIAAgACAAIAAgACAAIAAgACAAIAAgACkAXABuACAAIAAgACAAIAAgACAAIAAgACAAIAAgACkAXABuACAAIAAgACAAIAAgACAAIAApAFwAbgAgACAAIAAgACkAXABuACkAOwBcAG4AXABuAC8AKgAqAFwAbgAgACoAIABbAEkAbgB0AGUAcgBuAGEAbABdACAATQB1AGwAdABpAHAAbABpAGUAcwAgAHUAbgBzAGkAZwBuAGUAZAAgAEwAaQB0AHQAbABlAC0ARQBuAGQAaQBhAG4AIABsAGkAbQBiACAAYQByAHIAYQB5AHMAIAB2AGkAYQAgADEARAAgAEQAaQBzAGMAcgBlAHQAZQAgAEMAbwBuAHYAbwBsAHUAdABpAG8AbgAuAFwAbgAgACoAIABbAGwAaQBtAGIAcwBfAGEAOgAgAEEAcgByAGEAeQAsACAAbABpAG0AYgBzAF8AYgA6ACAAQQByAHIAYQB5ACwAIABrADoAIABpAG4AdABdAFwAbgAgACoALwBcAG4AVQBNAHUAbAAgAD0AIABMAEEATQBCAEQAQQAoAGwAaQBtAGIAcwBfAGEALAAgAGwAaQBtAGIAcwBfAGIALAAgAGsALABcAG4AIAAgACAAIABMAEUAVAAoAFwAbgAgACAAIAAgACAAIAAgACAAbgB1AG0AXwBsAGkAbQBiAHMAXwBhACwAIABSAE8AVwBTACgAbABpAG0AYgBzAF8AYQApACwAXABuACAAIAAgACAAIAAgACAAIABuAHUAbQBfAGwAaQBtAGIAcwBfAGIALAAgAFIATwBXAFMAKABsAGkAbQBiAHMAXwBiACkALABcAG4AIAAgACAAIAAgACAAIAAgAGMAbwBuAHYAbwBsAHUAdABpAG8AbgBfAGwAZQBuAGcAdABoACwAIABuAHUAbQBfAGwAaQBtAGIAcwBfAGEAIAArACAAbgB1AG0AXwBsAGkAbQBiAHMAXwBiACAALQAgADEALABcAG4AXABuACAAIAAgACAAIAAgACAAIAAvAC8AIABDAGEAdQBjAGgAeQAgAFAAcgBvAGQAdQBjAHQAIABhAHYAbwBpAGQAcwAgAGUAeABwAGUAbgBzAGkAdgBlACAAMgBEACAAbQBhAHQAcgBpAHgAIABnAGUAbgBlAHIAYQB0AGkAbwBuACAAYgB5ACAAYwBhAGwAYwB1AGwAYQB0AGkAbgBnACAAZQBhAGMAaAAgAGwAaQBtAGIAJwBzACAAbQBhAGcAbgBpAHQAdQBkAGUAIABpAG4AZABlAHAAZQBuAGQAZQBuAHQAbAB5AC4AXABuACAAIAAgACAAIAAgACAAIAByAGEAdwBfAGMAbwBuAHYAbwBsAHUAdABpAG8AbgAsACAATQBBAEsARQBBAFIAUgBBAFkAKABjAG8AbgB2AG8AbAB1AHQAaQBvAG4AXwBsAGUAbgBnAHQAaAAsACAAMQAsACAATABBAE0AQgBEAEEAKAByACwAIABjACwAXABuACAAIAAgACAAIAAgACAAIAAgACAAIAAgAEwARQBUACgAXABuACAAIAAgACAAIAAgACAAIAAgACAAIAAgACAAIAAgACAAdwBpAG4AZABvAHcAXwBzAHQAYQByAHQAXwBpACwAIABNAEEAWAAoADEALAAgAHIAIAAtACAAbgB1AG0AXwBsAGkAbQBiAHMAXwBiACAAKwAgADEAKQAsAFwAbgAgACAAIAAgACAAIAAgACAAIAAgACAAIAAgACAAIAAgAHcAaQBuAGQAbwB3AF8AZQBuAGQAXwBpACwAIABNAEkATgAoAHIALAAgAG4AdQBtAF8AbABpAG0AYgBzAF8AYQApACwAXABuAFwAbgAgACAAIAAgACAAIAAgACAAIAAgACAAIAAgACAAIAAgAG8AdgBlAHIAbABhAHAAXwByAG8AdwBzACwAIAB3AGkAbgBkAG8AdwBfAGUAbgBkAF8AaQAgAC0AIAB3AGkAbgBkAG8AdwBfAHMAdABhAHIAdABfAGkAIAArACAAMQAsAFwAbgBcAG4AIAAgACAAIAAgACAAIAAgACAAIAAgACAAIAAgACAAIABzAGUAcQBfAGkALAAgAFMARQBRAFUARQBOAEMARQAoAG8AdgBlAHIAbABhAHAAXwByAG8AdwBzACwAIAAxACwAIAB3AGkAbgBkAG8AdwBfAHMAdABhAHIAdABfAGkALAAgADEAKQAsAFwAbgAgACAAIAAgACAAIAAgACAAIAAgACAAIAAgACAAIAAgAHMAZQBxAF8AagAsACAAUwBFAFEAVQBFAE4AQwBFACgAbwB2AGUAcgBsAGEAcABfAHIAbwB3AHMALAAgADEALAAgAHIAIAAtACAAdwBpAG4AZABvAHcAXwBzAHQAYQByAHQAXwBpACAAKwAgADEALAAgAC0AMQApACwAXABuAFwAbgAgACAAIAAgACAAIAAgACAAIAAgACAAIAAgACAAIAAgAFMAVQBNACgASQBOAEQARQBYACgAbABpAG0AYgBzAF8AYQAsACAAcwBlAHEAXwBpACwAIAAxACkAIAAqACAASQBOAEQARQBYACgAbABpAG0AYgBzAF8AYgAsACAAcwBlAHEAXwBqACwAIAAxACkAKQBcAG4AIAAgACAAIAAgACAAIAAgACAAIAAgACAAKQBcAG4AIAAgACAAIAAgACAAIAAgACkAKQAsAFwAbgBcAG4AIAAgACAAIAAgACAAIAAgAEMAYQByAHIAeQAoAHIAYQB3AF8AYwBvAG4AdgBvAGwAdQB0AGkAbwBuACwAIABrACkAXABuACAAIAAgACAAKQBcAG4AKQA7AFwAbgBcAG4ALwAqACoAXABuACAAKgAgAFsASQBuAHQAZQByAG4AYQBsAF0AIABSAGUAdAB1AHIAbgBzACAAaABpAGcAaABlAHMAdAAgAHMAYwBhAGwAYQByACAAcQB1AG8AdABpAGUAbgB0ACAAbABpAG0AYgAgAHEAIAAoADAAIAA8AD0AIABxACAAPAAgADEAMABeAGsAKQAgAHcAaABlAHIAZQAgAEIAIAAqACAAcQAgADwAPQAgAFIALgBcAG4AIAAqACAAWwBsAGkAbQBiAHMAXwByADoAIABBAHIAcgBhAHkALAAgAGwAaQBtAGIAcwBfAGIAOgAgAEEAcgByAGEAeQAsACAAawA6ACAAaQBuAHQAXQBcAG4AIAAqAC8AXABuAEYAaQBuAGQAUQB1AG8AdABpAGUAbgB0AEwAaQBtAGIAIAA9ACAATABBAE0AQgBEAEEAKABsAGkAbQBiAHMAXwByACwAIABsAGkAbQBiAHMAXwBiACwAIABrACwAXABuACAAIAAgACAATABFAFQAKABcAG4AIAAgACAAIAAgACAAIAAgAHIAZQBxAHUAaQByAGUAZABfAGIAaQB0AHMALAAgAEMARQBJAEwASQBOAEcALgBNAEEAVABIACgATABPAEcAKAAxADAAXgBrACwAIAAyACkAKQAsAFwAbgAgACAAIAAgACAAIAAgACAAcABvAHcAZQByAHMAXwBvAGYAXwB0AHcAbwAsACAAMgAgAF4AIABTAEUAUQBVAEUATgBDAEUAKAByAGUAcQB1AGkAcgBlAGQAXwBiAGkAdABzACwAIAAxACwAIAByAGUAcQB1AGkAcgBlAGQAXwBiAGkAdABzACAALQAgADEALAAgAC0AMQApACwAXABuAFwAbgAgACAAIAAgACAAIAAgACAAUgBFAEQAVQBDAEUAKAAwACwAIABwAG8AdwBlAHIAcwBfAG8AZgBfAHQAdwBvACwAIABMAEEATQBCAEQAQQAoAGMAdQByAHIAZQBuAHQAXwBxACwAIABjAHUAcgByAGUAbgB0AF8AcABvAHcAZQByACwAXABuACAAIAAgACAAIAAgACAAIAAgACAAIAAgAEwARQBUACgAXABuACAAIAAgACAAIAAgACAAIAAgACAAIAAgACAAIAAgACAAdABlAHMAdABfAHEALAAgAGMAdQByAHIAZQBuAHQAXwBxACAAKwAgAGMAdQByAHIAZQBuAHQAXwBwAG8AdwBlAHIALABcAG4AXABuACAAIAAgACAAIAAgACAAIAAgACAAIAAgACAAIAAgACAASQBGACgAdABlAHMAdABfAHEAIAA+AD0AIAAxADAAXgBrACwAXABuACAAIAAgACAAIAAgACAAIAAgACAAIAAgACAAIAAgACAAIAAgACAAIABjAHUAcgByAGUAbgB0AF8AcQAsAFwAbgAgACAAIAAgACAAIAAgACAAIAAgACAAIAAgACAAIAAgACAAIAAgACAATABFAFQAKABcAG4AIAAgACAAIAAgACAAIAAgACAAIAAgACAAIAAgACAAIAAgACAAIAAgACAAIAAgACAAbABpAG0AYgBzAF8AYgBxACwAIABDAGEAcgByAHkAKABsAGkAbQBiAHMAXwBiACAAKgAgAHQAZQBzAHQAXwBxACwAIABrACkALABcAG4AIAAgACAAIAAgACAAIAAgACAAIAAgACAAIAAgACAAIAAgACAAIAAgACAAIAAgACAAbQBhAGcAbgBpAHQAdQBkAGUAXwBjAG8AbQBwAGEAcgBpAHMAbwBuACwAIABVAEMAbwBtAHAAYQByAGUAKABsAGkAbQBiAHMAXwByACwAIABsAGkAbQBiAHMAXwBiAHEAKQAsAFwAbgBcAG4AIAAgACAAIAAgACAAIAAgACAAIAAgACAAIAAgACAAIAAgACAAIAAgACAAIAAgACAASQBGACgAbQBhAGcAbgBpAHQAdQBkAGUAXwBjAG8AbQBwAGEAcgBpAHMAbwBuACAAPgA9ACAAMAAsACAAdABlAHMAdABfAHEALAAgAGMAdQByAHIAZQBuAHQAXwBxACkAXABuACAAIAAgACAAIAAgACAAIAAgACAAIAAgACAAIAAgACAAIAAgACAAIAApAFwAbgAgACAAIAAgACAAIAAgACAAIAAgACAAIAAgACAAIAAgACkAXABuACAAIAAgACAAIAAgACAAIAAgACAAIAAgACkAXABuACAAIAAgACAAIAAgACAAIAApACkAXABuACAAIAAgACAAKQBcAG4AKQA7AFwAbgBcAG4ALwAqACoAXABuACAAKgAgAFsASQBuAHQAZQByAG4AYQBsAF0AIABSAGUAdAB1AHIAbgBzACAAcABhAGMAawBlAGQAIABhAHIAcgBhAHkAOgAgAFsATABlAG4AXwBSADsAIABSAF8AbABpAG0AYgBzADsAIABRAF8AbABpAG0AYgBzAF0AIAB1AHMAaQBuAGcAIABzAGUAcQB1AGUAbgB0AGkAYQBsACAAbABvAG4AZwAgAGQAaQB2AGkAcwBpAG8AbgAuAFwAbgAgACoAIABbAGwAaQBtAGIAcwBfAGEAOgAgAEEAcgByAGEAeQAsACAAbABpAG0AYgBzAF8AYgA6ACAAQQByAHIAYQB5ACwAIABrADoAIABpAG4AdABdAFwAbgAgACoALwBcAG4ASwBuAHUAdABoAEQAaQB2ACAAPQAgAEwAQQBNAEIARABBACgAbABpAG0AYgBzAF8AYQAsACAAbABpAG0AYgBzAF8AYgAsACAAawAsAFwAbgAgACAAIAAgAEwARQBUACgAXABuACAAIAAgACAAIAAgACAAIABtAGEAZwBuAGkAdAB1AGQAZQBfAGMAbwBtAHAAYQByAGkAcwBvAG4ALAAgAFUAQwBvAG0AcABhAHIAZQAoAGwAaQBtAGIAcwBfAGEALAAgAGwAaQBtAGIAcwBfAGIAKQAsAFwAbgBcAG4AIAAgACAAIAAgACAAIAAgAEkARgAoAG0AYQBnAG4AaQB0AHUAZABlAF8AYwBvAG0AcABhAHIAaQBzAG8AbgAgADwAIAAwACwAIABWAFMAVABBAEMASwAoAFIATwBXAFMAKABsAGkAbQBiAHMAXwBhACkALAAgAGwAaQBtAGIAcwBfAGEALAAgADAAKQAsAFwAbgAgACAAIAAgACAAIAAgACAASQBGACgAbQBhAGcAbgBpAHQAdQBkAGUAXwBjAG8AbQBwAGEAcgBpAHMAbwBuACAAPQAgADAALAAgAFYAUwBUAEEAQwBLACgAMQAsACAAMAAsACAAMQApACwAXABuACAAIAAgACAAIAAgACAAIAAgACAAIAAgAEwARQBUACgAXABuACAAIAAgACAAIAAgACAAIAAgACAAIAAgACAAIAAgACAAbgB1AG0AXwBsAGkAbQBiAHMAXwBhACwAIABSAE8AVwBTACgAbABpAG0AYgBzAF8AYQApACwAXABuACAAIAAgACAAIAAgACAAIAAgACAAIAAgACAAIAAgACAAYgBpAGcAXwBlAG4AZABpAGEAbgBfAGEALAAgAEMASABPAE8AUwBFAFIATwBXAFMAKABsAGkAbQBiAHMAXwBhACwAIABTAEUAUQBVAEUATgBDAEUAKABuAHUAbQBfAGwAaQBtAGIAcwBfAGEALAAgADEALAAgAG4AdQBtAF8AbABpAG0AYgBzAF8AYQAsACAALQAxACkAKQAsAFwAbgBcAG4AIAAgACAAIAAgACAAIAAgACAAIAAgACAAIAAgACAAIAAvAC8AIABTAHQAYQB0AGUAIABpAHMAIABwAGEAYwBrAGUAZAAgAGkAbgB0AG8AIABhACAAMQBEACAAdgBlAHIAdABpAGMAYQBsACAAYQByAHIAYQB5ACAAYgBlAGMAYQB1AHMAZQAgAEUAeABjAGUAbAAgAGMAYQBuACAAbwBuAGwAeQAgAHIAZQB0AHUAcgBuACAAbwBuAGUAIABvAGIAagBlAGMAdAA7AFwAbgAgACAAIAAgACAAIAAgACAAIAAgACAAIAAgACAAIAAgAC8ALwAgAHAAcgBlAGYAaQB4AGkAbgBnACAAdABoAGUAIAByAGUAbQBhAGkAbgBkAGUAcgAnAHMAIABsAGUAbgBnAHQAaAAgAGEAbABsAG8AdwBzACAAZQBmAGYAaQBjAGkAZQBuAHQAIAB1AG4AcABhAGMAawBpAG4AZwAgAG8AZgAgAGIAbwB0AGgAIABSACAAYQBuAGQAIABRACAAYwBvAG0AcABvAG4AZQBuAHQAcwAuAFwAbgAgACAAIAAgACAAIAAgACAAIAAgACAAIAAgACAAIAAgAGYAaQBuAGEAbABfAHAAYQBjAGsAZQBkAF8AcwB0AGEAdABlACwAIABSAEUARABVAEMARQAoAFYAUwBUAEEAQwBLACgAMQAsACAAMAAsACAAMAApACwAIABiAGkAZwBfAGUAbgBkAGkAYQBuAF8AYQAsACAATABBAE0AQgBEAEEAKABwAGEAYwBrAGUAZABfAHMAdABhAHQAZQAsACAAdgBhAGwALABcAG4AIAAgACAAIAAgACAAIAAgACAAIAAgACAAIAAgACAAIAAgACAAIAAgAEwARQBUACgAXABuACAAIAAgACAAIAAgACAAIAAgACAAIAAgACAAIAAgACAAIAAgACAAIAAgACAAIAAgAG4AdQBtAF8AbABpAG0AYgBzAF8AcgAsACAASQBOAEQARQBYACgAcABhAGMAawBlAGQAXwBzAHQAYQB0AGUALAAgADEALAAgADEAKQAsAFwAbgAgACAAIAAgACAAIAAgACAAIAAgACAAIAAgACAAIAAgACAAIAAgACAAIAAgACAAIABsAGkAbQBiAHMAXwByACwAIABDAEgATwBPAFMARQBSAE8AVwBTACgAcABhAGMAawBlAGQAXwBzAHQAYQB0AGUALAAgAFMARQBRAFUARQBOAEMARQAoAG4AdQBtAF8AbABpAG0AYgBzAF8AcgAsACAAMQAsACAAMgApACkALABcAG4AIAAgACAAIAAgACAAIAAgACAAIAAgACAAIAAgACAAIAAgACAAIAAgACAAIAAgACAAbABpAG0AYgBzAF8AcQAsACAARABSAE8AUAAoAHAAYQBjAGsAZQBkAF8AcwB0AGEAdABlACwAIABuAHUAbQBfAGwAaQBtAGIAcwBfAHIAIAArACAAMQApACwAXABuAFwAbgAgACAAIAAgACAAIAAgACAAIAAgACAAIAAgACAAIAAgACAAIAAgACAAIAAgACAAIABsAGkAbQBiAHMAXwBzAGgAaQBmAHQAZQBkAF8AcgAsACAASQBGACgAQQBOAEQAKABSAE8AVwBTACgAbABpAG0AYgBzAF8AcgApACAAPQAgADEALAAgAEkATgBEAEUAWAAoAGwAaQBtAGIAcwBfAHIALAAgADEALAAgADEAKQAgAD0AIAAwACkALABcAG4AIAAgACAAIAAgACAAIAAgACAAIAAgACAAIAAgACAAIAAgACAAIAAgACAAIAAgACAAIAAgACAAIAB2AGEAbAAsAFwAbgAgACAAIAAgACAAIAAgACAAIAAgACAAIAAgACAAIAAgACAAIAAgACAAIAAgACAAIAAgACAAIAAgAFYAUwBUAEEAQwBLACgAdgBhAGwALAAgAGwAaQBtAGIAcwBfAHIAKQBcAG4AIAAgACAAIAAgACAAIAAgACAAIAAgACAAIAAgACAAIAAgACAAIAAgACAAIAAgACAAKQAsAFwAbgBcAG4AIAAgACAAIAAgACAAIAAgACAAIAAgACAAIAAgACAAIAAgACAAIAAgACAAIAAgACAAcQBfAGwAaQBtAGIALAAgAEYAaQBuAGQAUQB1AG8AdABpAGUAbgB0AEwAaQBtAGIAKABsAGkAbQBiAHMAXwBzAGgAaQBmAHQAZQBkAF8AcgAsACAAbABpAG0AYgBzAF8AYgAsACAAawApACwAXABuACAAIAAgACAAIAAgACAAIAAgACAAIAAgACAAIAAgACAAIAAgACAAIAAgACAAIAAgAGwAaQBtAGIAcwBfAGIAcQAsACAAQwBhAHIAcgB5ACgAbABpAG0AYgBzAF8AYgAgACoAIABxAF8AbABpAG0AYgAsACAAawApACwAXABuACAAIAAgACAAIAAgACAAIAAgACAAIAAgACAAIAAgACAAIAAgACAAIAAgACAAIAAgAGwAaQBtAGIAcwBfAG4AZQB4AHQAXwByACwAIABVAFMAdQBiACgAbABpAG0AYgBzAF8AcwBoAGkAZgB0AGUAZABfAHIALAAgAGwAaQBtAGIAcwBfAGIAcQAsACAAawApACwAXABuACAAIAAgACAAIAAgACAAIAAgACAAIAAgACAAIAAgACAAIAAgACAAIAAgACAAIAAgAGgAYQBzAF8AcQAsACAATwBSACgAUgBPAFcAUwAoAGwAaQBtAGIAcwBfAHEAKQAgAD4AIAAxACwAIABJAE4ARABFAFgAKABsAGkAbQBiAHMAXwBxACwAMQAsADEAKQAgAD4AIAAwACkALABcAG4AXABuACAAIAAgACAAIAAgACAAIAAgACAAIAAgACAAIAAgACAAIAAgACAAIAAgACAAIAAgAGwAaQBtAGIAcwBfAG4AZQB4AHQAXwBxACwAIABJAEYAKABoAGEAcwBfAHEALAAgAFYAUwBUAEEAQwBLACgAbABpAG0AYgBzAF8AcQAsACAAcQBfAGwAaQBtAGIAKQAsACAAcQBfAGwAaQBtAGIAKQAsAFwAbgBcAG4AIAAgACAAIAAgACAAIAAgACAAIAAgACAAIAAgACAAIAAgACAAIAAgACAAIAAgACAAVgBTAFQAQQBDAEsAKABSAE8AVwBTACgAbABpAG0AYgBzAF8AbgBlAHgAdABfAHIAKQAsACAAbABpAG0AYgBzAF8AbgBlAHgAdABfAHIALAAgAGwAaQBtAGIAcwBfAG4AZQB4AHQAXwBxACkAXABuACAAIAAgACAAIAAgACAAIAAgACAAIAAgACAAIAAgACAAIAAgACAAIAApAFwAbgAgACAAIAAgACAAIAAgACAAIAAgACAAIAAgACAAIAAgACkAKQAsAFwAbgBcAG4AIAAgACAAIAAgACAAIAAgACAAIAAgACAAIAAgACAAIABuAHUAbQBfAGwAaQBtAGIAcwBfAHIALAAgAEkATgBEAEUAWAAoAGYAaQBuAGEAbABfAHAAYQBjAGsAZQBkAF8AcwB0AGEAdABlACwAIAAxACwAIAAxACkALABcAG4AIAAgACAAIAAgACAAIAAgACAAIAAgACAAIAAgACAAIABsAGkAbQBiAHMAXwByACwAIABDAEgATwBPAFMARQBSAE8AVwBTACgAZgBpAG4AYQBsAF8AcABhAGMAawBlAGQAXwBzAHQAYQB0AGUALAAgAFMARQBRAFUARQBOAEMARQAoAG4AdQBtAF8AbABpAG0AYgBzAF8AcgAsACAAMQAsACAAMgApACkALABcAG4AIAAgACAAIAAgACAAIAAgACAAIAAgACAAIAAgACAAIABiAGkAZwBfAGUAbgBkAGkAYQBuAF8AcQAsACAARABSAE8AUAAoAGYAaQBuAGEAbABfAHAAYQBjAGsAZQBkAF8AcwB0AGEAdABlACwAIABuAHUAbQBfAGwAaQBtAGIAcwBfAHIAIAArACAAMQApACwAXABuAFwAbgAgACAAIAAgACAAIAAgACAAIAAgACAAIAAgACAAIAAgAGwAZQBuAF8AcQAsACAAUgBPAFcAUwAoAGIAaQBnAF8AZQBuAGQAaQBhAG4AXwBxACkALABcAG4AIAAgACAAIAAgACAAIAAgACAAIAAgACAAIAAgACAAIABsAGkAbQBiAHMAXwBxACwAIABDAEgATwBPAFMARQBSAE8AVwBTACgAYgBpAGcAXwBlAG4AZABpAGEAbgBfAHEALAAgAFMARQBRAFUARQBOAEMARQAoAGwAZQBuAF8AcQAsACAAMQAsACAAbABlAG4AXwBxACwAIAAtADEAKQApACwAXABuAFwAbgAgACAAIAAgACAAIAAgACAAIAAgACAAIAAgACAAIAAgAFYAUwBUAEEAQwBLACgAbgB1AG0AXwBsAGkAbQBiAHMAXwByACwAIABsAGkAbQBiAHMAXwByACwAIABsAGkAbQBiAHMAXwBxACkAXABuACAAIAAgACAAIAAgACAAIAAgACAAIAAgACkAXABuACAAIAAgACAAIAAgACAAIAApACkAXABuACAAIAAgACAAKQBcAG4AKQA7AFwAbgBcAG4ALwAqACoAXABuACAAKgAgAFsASQBuAHQAZQByAG4AYQBsAF0AIABSAG8AdQB0AGUAcwAgAGQAaQB2AGkAcwBpAG8AbgAgAHQAbwAgAEsAbgB1AHQAaAAgAG8AcgAgAE4AZQB3AHQAbwBuAC0AUgBhAHAAaABzAG8AbgAgAGIAYQBzAGUAZAAgAG8AbgAgAEQAaQB2AGkAZABlAG4AZAAgAGwAZQBuAGcAdABoAC4AXABuACAAKgAgAFsAbABpAG0AYgBzAF8AYQA6ACAAQQByAHIAYQB5ACwAIABsAGkAbQBiAHMAXwBiADoAIABBAHIAcgBhAHkALAAgAGsAOgAgAGkAbgB0AF0AXABuACAAKgAvAFwAbgBEAGkAdgBSAG8AdQB0AGUAcgAgAD0AIABMAEEATQBCAEQAQQAoAGwAaQBtAGIAcwBfAGEALAAgAGwAaQBtAGIAcwBfAGIALAAgAGsALABcAG4AIAAgACAAIABMAEUAVAAoAFwAbgAgACAAIAAgACAAIAAgACAAYQBwAHAAcgBvAHgAXwBkAGkAZwBpAHQAcwBfAGEALAAgAFIATwBXAFMAKABsAGkAbQBiAHMAXwBhACkAIAAqACAAawAsAFwAbgAgACAAIAAgACAAIAAgACAAYQBwAHAAcgBvAHgAXwBkAGkAZwBpAHQAcwBfAGIALAAgAFIATwBXAFMAKABsAGkAbQBiAHMAXwBiACkAIAAqACAAawAsAFwAbgBcAG4AIAAgACAAIAAgACAAIAAgAC8ALwAgAEwAbwBnAGkAcwB0AGkAYwAgAFIAZQBnAHIAZQBzAHMAaQBvAG4AIABjAG8AZQBmAGYAaQBjAGkAZQBuAHQAcwAgAGQAZQB0AGUAcgBtAGkAbgBlACAAdABoAGUAIABjAHIAbwBzAHMAbwB2AGUAcgAgAHcAaABlAHIAZQAgAHMAZQBxAHUAZQBuAHQAaQBhAGwAIAByAGUAYQBsAGwAbwBjAGEAdABpAG8AbgAgAGsAaQBsAGwAcwAgAHAAZQByAGYAbwByAG0AYQBuAGMAZQAuAFwAbgAgACAAIAAgACAAIAAgACAAcgBlAGcAcgBlAHMAcwBpAG8AbgBfAHMAbABvAHAAZQBfAG0ALAAgADAALgAxADAANwA4ADIAMQAxADkANAAyADcAMQAyADkANwAsAFwAbgAgACAAIAAgACAAIAAgACAAcgBlAGcAcgBlAHMAcwBpAG8AbgBfAGkAbgB0AGUAcgBjAGUAcAB0AF8AYwAsACAALQAyADIAMQAuADkAMAAyADEAOAA5ADQANgAyADAANgA4ACwAXABuACAAIAAgACAAIAAgACAAIAB0AGgAcgBlAHMAaABvAGwAZABfAGQAaQBnAGkAdABzACwAIAAoAHIAZQBnAHIAZQBzAHMAaQBvAG4AXwBzAGwAbwBwAGUAXwBtACAAKgAgAGEAcABwAHIAbwB4AF8AZABpAGcAaQB0AHMAXwBhACkAIAArACAAcgBlAGcAcgBlAHMAcwBpAG8AbgBfAGkAbgB0AGUAcgBjAGUAcAB0AF8AYwAsAFwAbgBcAG4AIAAgACAAIAAgACAAIAAgAEkARgAoAGEAcABwAHIAbwB4AF8AZABpAGcAaQB0AHMAXwBiACAAPAA9ACAAdABoAHIAZQBzAGgAbwBsAGQAXwBkAGkAZwBpAHQAcwAsAFwAbgAgACAAIAAgACAAIAAgACAAIAAgACAAIABLAG4AdQB0AGgARABpAHYAKABsAGkAbQBiAHMAXwBhACwAIABsAGkAbQBiAHMAXwBiACwAIABrACkALABcAG4AIAAgACAAIAAgACAAIAAgACAAIAAgACAATgBlAHcAdABvAG4AUgBhAHAAaABzAG8AbgBEAGkAdgAoAGwAaQBtAGIAcwBfAGEALAAgAGwAaQBtAGIAcwBfAGIALAAgAGsAKQBcAG4AIAAgACAAIAAgACAAIAAgACkAXABuACAAIAAgACAAKQBcAG4AKQA7AFwAbgBcAG4ALwAqACoAXABuACAAKgAgAFsASQBuAHQAZQByAG4AYQBsAF0AIABSAGUAdAB1AHIAbgBzACAAdABoAGUAIAByAGUAYwBpAHAAcgBvAGMAYQBsACAAcwBlAGUAZAAgAGYAbABvAG8AcgAoAEIAZQB0AGEAXgAoADIAKgBsAGUAbgApACAALwAgAEIAXwB0AG8AcAApACAAdgBpAGEAIABLAG4AdQB0AGgAIABCAGEAcwBlAGMAYQBzAGUALgBcAG4AIAAqACAAWwBsAGkAbQBiAHMAXwBiADoAIABBAHIAcgBhAHkALAAgAGsAOgAgAGkAbgB0AF0AXABuACAAKgAvAFwAbgBOAGUAdwB0AG8AbgBSAGEAcABoAHMAbwBuAFMAZQBlAGQAIAA9ACAATABBAE0AQgBEAEEAKABsAGkAbQBiAHMAXwBiACwAIABrACwAXABuACAAIAAgACAATABFAFQAKABcAG4AIAAgACAAIAAgACAAIAAgAG4AdQBtAF8AbABpAG0AYgBzAF8AYgAsACAAUgBPAFcAUwAoAGwAaQBtAGIAcwBfAGIAKQAsAFwAbgAgACAAIAAgACAAIAAgACAAbgB1AG0AXwBzAGUAZQBkAF8AbABpAG0AYgBzACwAIABNAEkATgAoADMALAAgAG4AdQBtAF8AbABpAG0AYgBzAF8AYgApACwAXABuAFwAbgAgACAAIAAgACAAIAAgACAALwAvACAARQB4AHQAcgBhAGMAdAAgAHQAbwBwACAAbABpAG0AYgBzACAAKABMAGkAdAB0AGwAZQAtAEUAbgBkAGkAYQBuADoAIAB0AGEAawBlACAAZgByAG8AbQAgAHQAaABlACAAYgBvAHQAdABvAG0AKQBcAG4AIAAgACAAIAAgACAAIAAgAGwAaQBtAGIAcwBfAGIAXwB0AG8AcAAsACAAVABBAEsARQAoAGwAaQBtAGIAcwBfAGIALAAgAC0AbgB1AG0AXwBzAGUAZQBkAF8AbABpAG0AYgBzACkALABcAG4AXABuACAAIAAgACAAIAAgACAAIAAvAC8AIABDAG8AbgBzAHQAcgB1AGMAdAAgAEIAZQB0AGEAXgAoADIAIAAqACAAcwBlAGUAZABfAGwAZQBuACkAIABuAGEAdABpAHYAZQBsAHkAXABuACAAIAAgACAAIAAgACAAIABsAGkAbQBiAHMAXwBiAGUAdABhAF8AMgBtACwAIABWAFMAVABBAEMASwAoAEUAWABQAEEATgBEACgAMAAsACAAMgAgACoAIABuAHUAbQBfAHMAZQBlAGQAXwBsAGkAbQBiAHMALAAgACwAIAAwACkALAAgADEAKQAsAFwAbgBcAG4AIAAgACAAIAAgACAAIAAgAC8ALwAgAEsAbgB1AHQAaAAgAEQAaQB2AGkAcwBpAG8AbgAgAHkAaQBlAGwAZABzACAAZQB4AGEAYwB0ACAAaQBuAGkAdABpAGEAbAAgAHIAZQBjAGkAcAByAG8AYwBhAGwAXABuACAAIAAgACAAIAAgACAAIABwAGEAYwBrAGUAZABfAGIAYQBzAGUAYwBhAHMAZQBfAHIAZQBzAHUAbAB0ACwAIABLAG4AdQB0AGgARABpAHYAKABsAGkAbQBiAHMAXwBiAGUAdABhAF8AMgBtACwAIABsAGkAbQBiAHMAXwBiAF8AdABvAHAALAAgAGsAKQAsAFwAbgBcAG4AIAAgACAAIAAgACAAIAAgAC8ALwAgAEUAeAB0AHIAYQBjAHQAIABRAHUAbwB0AGkAZQBuAHQAIABhAHIAcgBhAHkAIABmAHIAbwBtACAAdABoAGUAIABwAGEAYwBrAGUAZAAgAFYAUwBUAEEAQwBLAFwAbgAgACAAIAAgACAAIAAgACAAbgB1AG0AXwBsAGkAbQBiAHMAXwByACwAIABJAE4ARABFAFgAKABwAGEAYwBrAGUAZABfAGIAYQBzAGUAYwBhAHMAZQBfAHIAZQBzAHUAbAB0ACwAIAAxACwAIAAxACkALABcAG4AIAAgACAAIAAgACAAIAAgAEQAUgBPAFAAKABwAGEAYwBrAGUAZABfAGIAYQBzAGUAYwBhAHMAZQBfAHIAZQBzAHUAbAB0ACwAIABuAHUAbQBfAGwAaQBtAGIAcwBfAHIAIAArACAAMQApAFwAbgAgACAAIAAgACkAXABuACkAOwBcAG4AXABuAC8AKgAqAFwAbgAgACoAIABbAEkAbgB0AGUAcgBuAGEAbABdACAAUgBlAHQAdQByAG4AcwAgAHQAaABlACAAUgBlAGMAaQBwAHIAbwBjAGEAbAAgAFIAIABzAGMAYQBsAGUAZAAgAHAAcgBvAGcAcgBlAHMAcwBpAHYAZQBsAHkAIAB0AG8AIAB0AGgAZQAgAEQAaQB2AGkAZABlAG4AZAAnAHMAIABwAHIAZQBjAGkAcwBpAG8AbgAuAFwAbgAgACoAIABbAGwAaQBtAGIAcwBfAGIAOgAgAEEAcgByAGEAeQAsACAAdABhAHIAZwBlAHQAXwBsAGUAbgA6ACAAaQBuAHQALAAgAGsAOgAgAGkAbgB0AF0AXABuACAAKgAvAFwAbgBOAGUAdwB0AG8AbgBSAGEAcABoAHMAbwBuAFIAZQBjAGkAcAByAG8AYwBhAGwAIAA9ACAATABBAE0AQgBEAEEAKABsAGkAbQBiAHMAXwBiACwAIAB0AGEAcgBnAGUAdABfAGwAZQBuACwAIABrACwAXABuACAAIAAgACAATABFAFQAKABcAG4AIAAgACAAIAAgACAAIAAgAG4AdQBtAF8AbABpAG0AYgBzAF8AYgAsACAAUgBPAFcAUwAoAGwAaQBtAGIAcwBfAGIAKQAsAFwAbgAgACAAIAAgACAAIAAgACAAbgB1AG0AXwBzAGUAZQBkAF8AbABpAG0AYgBzACwAIABNAEkATgAoADMALAAgAG4AdQBtAF8AbABpAG0AYgBzAF8AYgApACwAXABuACAAIAAgACAAIAAgACAAIABsAGkAbQBiAHMAXwByAF8AcwBlAGUAZAAsACAAYwBvAHIAZQBfAEIAaQBnAEkAbgB0AC4ATgBlAHcAdABvAG4AUgBhAHAAaABzAG8AbgBTAGUAZQBkACgAbABpAG0AYgBzAF8AYgAsACAAawApACwAXABuAFwAbgAgACAAIAAgACAAIAAgACAAcgBlAHEAdQBpAHIAZQBkAF8AaQB0AGUAcgBhAHQAaQBvAG4AcwAsACAATQBBAFgAKAAwACwAIABDAEUASQBMAEkATgBHAC4ATQBBAFQASAAoAEwATgAoAHQAYQByAGcAZQB0AF8AbABlAG4AIAAvACAAbgB1AG0AXwBzAGUAZQBkAF8AbABpAG0AYgBzACkAIAAvACAATABOACgAMgApACkAKQAgACsAIAAxACwAXABuAFwAbgAgACAAIAAgACAAIAAgACAASQBGACgAcgBlAHEAdQBpAHIAZQBkAF8AaQB0AGUAcgBhAHQAaQBvAG4AcwAgAD0AIAAwACwAIABsAGkAbQBiAHMAXwByAF8AcwBlAGUAZAAsAFwAbgAgACAAIAAgACAAIAAgACAAIAAgACAAIABMAEUAVAAoAFwAbgAgACAAIAAgACAAIAAgACAAIAAgACAAIAAgACAAIAAgAGkAdABlAHIAYQB0AGkAbwBuAHMALAAgAFMARQBRAFUARQBOAEMARQAoAHIAZQBxAHUAaQByAGUAZABfAGkAdABlAHIAYQB0AGkAbwBuAHMAKQAsAFwAbgAgACAAIAAgACAAIAAgACAAIAAgACAAIAAgACAAIAAgAC8ALwAgAFAAYQBjAGsAaQBuAGcAIABbAEwAZQBuAF8AUgA7ACAAUgBfAGwAaQBtAGIAcwBdACAAaQBuAHQAbwAgAGEAIAAxAEQAIAB2AGUAcgB0AGkAYwBhAGwAIABhAHIAcgBhAHkAIABhAGwAbABvAHcAcwAgAHIAZQB0AHUAcgBuAGkAbgBnACAAbQB1AGwAdABpAHAAbABlACAAYwBvAG0AcABvAG4AZQBuAHQAcwAgAHcAaQB0AGgAaQBuACAAUgBFAEQAVQBDAEUALgBcAG4AIAAgACAAIAAgACAAIAAgACAAIAAgACAAIAAgACAAIABmAGkAbgBhAGwAXwBwAGEAYwBrAGUAZABfAHMAdABhAHQAZQAsACAAUgBFAEQAVQBDAEUAKABWAFMAVABBAEMASwAoAG4AdQBtAF8AcwBlAGUAZABfAGwAaQBtAGIAcwAsACAAbABpAG0AYgBzAF8AcgBfAHMAZQBlAGQAKQAsACAAaQB0AGUAcgBhAHQAaQBvAG4AcwAsACAATABBAE0AQgBEAEEAKABwAGEAYwBrAGUAZABfAHMAdABhAHQAZQAsACAAaQAsAFwAbgAgACAAIAAgACAAIAAgACAAIAAgACAAIAAgACAAIAAgACAAIAAgACAATABFAFQAKABcAG4AIAAgACAAIAAgACAAIAAgACAAIAAgACAAIAAgACAAIAAgACAAIAAgACAAIAAgACAAYwB1AHIAcgBlAG4AdABfAGwAZQBuACwAIABJAE4ARABFAFgAKABwAGEAYwBrAGUAZABfAHMAdABhAHQAZQAsACAAMQAsACAAMQApACwAXABuACAAIAAgACAAIAAgACAAIAAgACAAIAAgACAAIAAgACAAIAAgACAAIAAgACAAIAAgAGwAaQBtAGIAcwBfAGMAdQByAHIAZQBuAHQAXwByACwAIABEAFIATwBQACgAcABhAGMAawBlAGQAXwBzAHQAYQB0AGUALAAgADEAKQAsAFwAbgBcAG4AIAAgACAAIAAgACAAIAAgACAAIAAgACAAIAAgACAAIAAgACAAIAAgACAAIAAgACAAbgBlAHgAdABfAGwAZQBuACwAIABNAEkATgAoAGMAdQByAHIAZQBuAHQAXwBsAGUAbgAgACoAIAAyACwAIAB0AGEAcgBnAGUAdABfAGwAZQBuACkALABcAG4AXABuACAAIAAgACAAIAAgACAAIAAgACAAIAAgACAAIAAgACAAIAAgACAAIAAgACAAIAAgAC8ALwAgAEkAZgAgAEIAIABoAGEAcwAgAHAAbABhAHQAZQBhAHUAZQBkACwAIABSACAAbQB1AHMAdAAgAHMAYwBhAGwAZQAgAGIAeQAgADIAKgAoAG4ALQBtACkALgAgAEkAZgAgAEIAIABpAHMAIABnAHIAbwB3AGkAbgBnACwAIABSACAAcwBjAGEAbABlAHMAIABiAHkAIAAoAG4ALQBtACkALgBcAG4AIAAgACAAIAAgACAAIAAgACAAIAAgACAAIAAgACAAIAAgACAAIAAgACAAIAAgACAAYQBjAHQAaQB2AGUAXwBiAF8AbABpAG0AYgBzAF8AYwB1AHIAcgBlAG4AdAAsACAATQBJAE4AKABjAHUAcgByAGUAbgB0AF8AbABlAG4ALAAgAG4AdQBtAF8AbABpAG0AYgBzAF8AYgApACwAXABuACAAIAAgACAAIAAgACAAIAAgACAAIAAgACAAIAAgACAAIAAgACAAIAAgACAAIAAgAGEAYwB0AGkAdgBlAF8AYgBfAGwAaQBtAGIAcwBfAG4AZQB4AHQALAAgAE0ASQBOACgAbgBlAHgAdABfAGwAZQBuACwAIABuAHUAbQBfAGwAaQBtAGIAcwBfAGIAKQAsAFwAbgAgACAAIAAgACAAIAAgACAAIAAgACAAIAAgACAAIAAgACAAIAAgACAAIAAgACAAIAByAGUAcQB1AGkAcgBlAGQAXwBzAGgAaQBmAHQAXwBsAGkAbQBiAHMALAAgADIAIAAqACAAKABuAGUAeAB0AF8AbABlAG4AIAAtACAAYwB1AHIAcgBlAG4AdABfAGwAZQBuACkAIAAtACAAKABhAGMAdABpAHYAZQBfAGIAXwBsAGkAbQBiAHMAXwBuAGUAeAB0ACAALQAgAGEAYwB0AGkAdgBlAF8AYgBfAGwAaQBtAGIAcwBfAGMAdQByAHIAZQBuAHQAKQAsAFwAbgBcAG4AIAAgACAAIAAgACAAIAAgACAAIAAgACAAIAAgACAAIAAgACAAIAAgACAAIAAgACAAbABpAG0AYgBzAF8AcgBfAHAAcgBpAG0AZQAsACAASQBGACgAcgBlAHEAdQBpAHIAZQBkAF8AcwBoAGkAZgB0AF8AbABpAG0AYgBzACAAPgAgADAALABcAG4AIAAgACAAIAAgACAAIAAgACAAIAAgACAAIAAgACAAIAAgACAAIAAgACAAIAAgACAAIAAgACAAIABWAFMAVABBAEMASwAoAEUAWABQAEEATgBEACgAMAAsACAAcgBlAHEAdQBpAHIAZQBkAF8AcwBoAGkAZgB0AF8AbABpAG0AYgBzACwAIAAsACAAMAApACwAIABsAGkAbQBiAHMAXwBjAHUAcgByAGUAbgB0AF8AcgApACwAXABuACAAIAAgACAAIAAgACAAIAAgACAAIAAgACAAIAAgACAAIAAgACAAIAAgACAAIAAgACAAIAAgACAAbABpAG0AYgBzAF8AYwB1AHIAcgBlAG4AdABfAHIAXABuACAAIAAgACAAIAAgACAAIAAgACAAIAAgACAAIAAgACAAIAAgACAAIAAgACAAIAAgACkALABcAG4AXABuACAAIAAgACAAIAAgACAAIAAgACAAIAAgACAAIAAgACAAIAAgACAAIAAgACAAIAAgAGwAaQBtAGIAcwBfAGIAXwBhAGMAdABpAHYAZQAsACAAVABBAEsARQAoAGwAaQBtAGIAcwBfAGIALAAgAC0AYQBjAHQAaQB2AGUAXwBiAF8AbABpAG0AYgBz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bABpAG0AYgBzAF8AcAAsACAAYwBvAHIAZQBfAEIAaQBnAEkAbgB0AC4AVQBNAHUAbAAoAGwAaQBtAGIAcwBfAGIAXwBhAGMAdABpAHYAZQAsACAAbABpAG0AYgBzAF8AcgBfAHAAcgBpAG0AZQAsACAAawApACwAXABuAFwAbgAgACAAIAAgACAAIAAgACAAIAAgACAAIAAgACAAIAAgACAAIAAgACAAIAAgACAAIABsAGkAbQBiAHMAXwB0AHcAbwBfAGIAZQB0AGEALAAgAFYAUwBUAEEAQwBLACgARQBYAFAAQQBOAEQAKAAwACwAIAAyACAAKgAgAG4AZQB4AHQAXwBsAGUAbgAsACAALAAgADAAKQAsACAAMgApACwAXABuACAAIAAgACAAIAAgACAAIAAgACAAIAAgACAAIAAgACAAIAAgACAAIAAgACAAIAAgAGwAaQBtAGIAcwBfAGUAcgByAG8AcgBfAHQAZQByAG0ALAAgAGMAbwByAGUAXwBCAGkAZwBJAG4AdAAuAFUAUwB1AGIAKABsAGkAbQBiAHMAXwB0AHcAbwBfAGIAZQB0AGEALAAgAGwAaQBtAGIAcwBfAHAALAAgAGsAKQAsAFwAbgBcAG4AIAAgACAAIAAgACAAIAAgACAAIAAgACAAIAAgACAAIAAgACAAIAAgACAAIAAgACAAbABpAG0AYgBzAF8AbgBlAHgAdABfAHIAXwB1AG4AcwBjAGEAbABlAGQALAAgAGMAbwByAGUAXwBCAGkAZwBJAG4AdAAuAFUATQB1AGwAKABsAGkAbQBiAHMAXwByAF8AcAByAGkAbQBlACwAIABsAGkAbQBiAHMAXwBlAHIAcgBvAHIAXwB0AGUAcgBtACwAIABrACkALABcAG4AIAAgACAAIAAgACAAIAAgACAAIAAgACAAIAAgACAAIAAgACAAIAAgACAAIAAgACAAbABpAG0AYgBzAF8AbgBlAHgAdABfAHIALAAgAEkARgAoAFIATwBXAFMAKABsAGkAbQBiAHMAXwBuAGUAeAB0AF8AcgBfAHUAbgBzAGMAYQBsAGUAZAApACAAPAA9ACAAMgAgACoAIABuAGUAeAB0AF8AbABlAG4ALABcAG4AIAAgACAAIAAgACAAIAAgACAAIAAgACAAIAAgACAAIAAgACAAIAAgACAAIAAgACAAIAAgACAAIAB7ADAAfQAsAFwAbgAgACAAIAAgACAAIAAgACAAIAAgACAAIAAgACAAIAAgACAAIAAgACAAIAAgACAAIAAgACAAIAAgAEQAUgBPAFAAKABsAGkAbQBiAHMAXwBuAGUAeAB0AF8AcgBfAHUAbgBzAGMAYQBsAGUAZAAsACAAMgAgACoAIABuAGUAeAB0AF8AbABlAG4AKQBcAG4AIAAgACAAIAAgACAAIAAgACAAIAAgACAAIAAgACAAIAAgACAAIAAgACAAIAAgACAAKQAsAFwAbgBcAG4AIAAgACAAIAAgACAAIAAgACAAIAAgACAAIAAgACAAIAAgACAAIAAgACAAIAAgACAAVgBTAFQAQQBDAEsAKABuAGUAeAB0AF8AbABlAG4ALAAgAGwAaQBtAGIAcwBfAG4AZQB4AHQAXwByACkAXABuACAAIAAgACAAIAAgACAAIAAgACAAIAAgACAAIAAgACAAIAAgACAAIAApAFwAbgAgACAAIAAgACAAIAAgACAAIAAgACAAIAAgACAAIAAgACkAKQAsAFwAbgAgACAAIAAgACAAIAAgACAAIAAgACAAIAAgACAAIAAgAEQAUgBPAFAAKABmAGkAbgBhAGwAXwBwAGEAYwBrAGUAZABfAHMAdABhAHQAZQAsACAAMQApAFwAbgAgACAAIAAgACAAIAAgACAAIAAgACAAIAApAFwAbgAgACAAIAAgACAAIAAgACAAKQBcAG4AIAAgACAAIAApAFwAbgApADsAXABuAFwAbgAvACoAKgBcAG4AIAAqACAAWwBJAG4AdABlAHIAbgBhAGwAXQAgAFIAZQB0AHUAcgBuAHMAIABwAGEAYwBrAGUAZAAgAGEAcgByAGEAeQA6ACAAWwBMAGUAbgBfAFIAOwAgAFIAXwBsAGkAbQBiAHMAOwAgAFEAXwBsAGkAbQBiAHMAXQAgAHUAcwBpAG4AZwAgAE4AZQB3AHQAbwBuAC0AUgBhAHAAaABzAG8AbgAuAFwAbgAgACoAIABbAGwAaQBtAGIAcwBfAGEAOgAgAEEAcgByAGEAeQAsACAAbABpAG0AYgBzAF8AYgA6ACAAQQByAHIAYQB5ACwAIABrADoAIABpAG4AdABdAFwAbgAgACoALwBcAG4ATgBlAHcAdABvAG4AUgBhAHAAaABzAG8AbgBEAGkAdgAgAD0AIABMAEEATQBCAEQAQQAoAGwAaQBtAGIAcwBfAGEALAAgAGwAaQBtAGIAcwBfAGIALAAgAGsALABcAG4AIAAgACAAIABMAEUAVAAoAFwAbgAgACAAIAAgACAAIAAgACAAbgB1AG0AXwBsAGkAbQBiAHMAXwBhACwAIABSAE8AVwBTACgAbABpAG0AYgBzAF8AYQApACwAXABuACAAIAAgACAAIAAgACAAIABuAHUAbQBfAGwAaQBtAGIAcwBfAGIALAAgAFIATwBXAFMAKABsAGkAbQBiAHMAXwBiACkALABcAG4AIAAgACAAIAAgACAAIAAgAG4AdQBtAF8AbABpAG0AYgBzAF8AdABhAHIAZwBlAHQALAAgAE0AQQBYACgAbgB1AG0AXwBsAGkAbQBiAHMAXwBhACwAIABuAHUAbQBfAGwAaQBtAGIAcwBfAGIAKQAsAFwAbgBcAG4AIAAgACAAIAAgACAAIAAgAC8ALwAgADEALgAgAEMAYQBsAGMAdQBsAGEAdABlACAAcgBlAGMAaQBwAHIAbwBjAGEAbAAgAFIAIABzAGMAYQBsAGUAZAAgAGQAeQBuAGEAbQBpAGMAYQBsAGwAeQAgAHQAbwAgADIAIAAqACAAdABhAHIAZwBlAHQAXwBsAGUAbgBcAG4AIAAgACAAIAAgACAAIAAgAGwAaQBtAGIAcwBfAHIAZQBjAGkAcAByAG8AYwBhAGwALAAgAGMAbwByAGUAXwBCAGkAZwBJAG4AdAAuAE4AZQB3AHQAbwBuAFIAYQBwAGgAcwBvAG4AUgBlAGMAaQBwAHIAbwBjAGEAbAAoAGwAaQBtAGIAcwBfAGIALAAgAG4AdQBtAF8AbABpAG0AYgBzAF8AdABhAHIAZwBlAHQALAAgAGsAKQAsAFwAbgBcAG4AIAAgACAAIAAgACAAIAAgAC8ALwAgADIALgAgAEEAcABwAHIAbwB4AGkAbQBhAHQAZQAgAFEAdQBvAHQAaQBlAG4AdAA6ACAAUQBfAGEAcABwAHIAbwB4ACAAPQAgAEEAIAAqACAAUgAgAC8AIABCAGUAdABhAF4AKAAyACAAKgAgAHQAYQByAGcAZQB0AF8AbABlAG4AKQBcAG4AIAAgACAAIAAgACAAIAAgAHIAaQBnAGgAdABfAHMAaABpAGYAdABfAGwAaQBtAGIAcwAsACAAMgAgACoAIABuAHUAbQBfAGwAaQBtAGIAcwBfAHQAYQByAGcAZQB0ACwAXABuACAAIAAgACAAIAAgACAAIABsAGkAbQBiAHMAXwBxAF8AdQBuAHMAYwBhAGwAZQBkACwAIABjAG8AcgBlAF8AQgBpAGcASQBuAHQALgBVAE0AdQBsACgAbABpAG0AYgBzAF8AYQAsACAAbABpAG0AYgBzAF8AcgBlAGMAaQBwAHIAbwBjAGEAbAAsACAAawApACwAXABuACAAIAAgACAAIAAgACAAIABsAGkAbQBiAHMAXwBxAF8AYQBwAHAAcgBvAHgALAAgAEkARgAoAFIATwBXAFMAKABsAGkAbQBiAHMAXwBxAF8AdQBuAHMAYwBhAGwAZQBkACkAIAA8AD0AIAByAGkAZwBoAHQAXwBzAGgAaQBmAHQAXwBsAGkAbQBiAHMALAAgAHsAMAB9ACwAIABEAFIATwBQACgAbABpAG0AYgBzAF8AcQBfAHUAbgBzAGMAYQBsAGUAZAAsACAAcgBpAGcAaAB0AF8AcwBoAGkAZgB0AF8AbABpAG0AYgBzACkAKQAsAFwAbgBcAG4AIAAgACAAIAAgACAAIAAgAC8ALwAgAEMAYQBsAGMAdQBsAGEAdABlACAAdABoAGUAIABtAGEAcwBzAGkAdgBlACAAYgBhAHMAZQBsAGkAbgBlACAAcAByAG8AZAB1AGMAdAAgAGUAeABhAGMAdABsAHkAIABPAE4AQwBFACAAdABvACAAcAByAGUAdgBlAG4AdAAgAHIAZQBkAHUAbgBkAGEAbgB0ACAAVQBNAHUAbAAgAGMAYQBsAGwAcwAuAFwAbgAgACAAIAAgACAAIAAgACAAbABpAG0AYgBzAF8AcABfAGIAYQBzAGUAbABpAG4AZQAsACAAYwBvAHIAZQBfAEIAaQBnAEkAbgB0AC4AVQBNAHUAbAAoAGwAaQBtAGIAcwBfAGIALAAgAGwAaQBtAGIAcwBfAHEAXwBhAHAAcAByAG8AeAAsACAAawApACwAXABuAFwAbgAgACAAIAAgACAAIAAgACAALwAvACAAMwAuACAAQgBvAHUAbgBkAGUAZAAgAEUAcgByAG8AcgAgAEMAbwByAHIAZQBjAHQAaQBvAG4AIABTAHcAZQBlAHAAIAAoAE8AcAB0AGkAbQBpAHoAZQBkACAATwAoAE4AKQAgAFMAdABlAHAAcABpAG4AZwApAFwAbgAgACAAIAAgACAAIAAgACAALwAvACAAUwB0AGEAdABlACAAaQBzACAAcABhAGMAawBlAGQAIABpAG4AdABvACAAYQAgADEARAAgAHYAZQByAHQAaQBjAGEAbAAgAGEAcgByAGEAeQAgAGIAZQBjAGEAdQBzAGUAIABFAHgAYwBlAGwAIABjAGEAbgAgAG8AbgBsAHkAIAByAGUAdAB1AHIAbgAgAG8AbgBlACAAbwBiAGoAZQBjAHQAOwBcAG4AIAAgACAAIAAgACAAIAAgAC8ALwAgAHAAcgBlAGYAaQB4AGkAbgBnACAAdABoAGUAIAByAGUAbQBhAGkAbgBkAGUAcgAnAHMAIABsAGUAbgBnAHQAaAAgAGEAbABsAG8AdwBzACAAZQBmAGYAaQBjAGkAZQBuAHQAIAB1AG4AcABhAGMAawBpAG4AZwAgAG8AZgAgAGIAbwB0AGgAIABSACAAYQBuAGQAIABRACAAYwBvAG0AcABvAG4AZQBuAHQAcwAuAFwAbgAgACAAIAAgACAAIAAgACAAaQBuAGkAdABpAGEAbABfAHAAYQBjAGsAZQBkAF8AcwB0AGEAdABlACwAIABWAFMAVABBAEMASwAoAFIATwBXAFMAKABsAGkAbQBiAHMAXwBxAF8AYQBwAHAAcgBvAHgAKQAsACAAbABpAG0AYgBzAF8AcQBfAGEAcABwAHIAbwB4ACwAIABsAGkAbQBiAHMAXwBwAF8AYgBhAHMAZQBsAGkAbgBlACkALABcAG4AXABuACAAIAAgACAAIAAgACAAIAAvAC8AIABTAHcAZQBlAHAAIABEAG8AdwBuADoAIABJAGYAIABQACAAPgAgAEEALAAgAFEAIABpAHMAIAB0AG8AbwAgAGIAaQBnAC4AIABTAHQAZQBwACAAUQAgAGQAbwB3AG4AIABiAHkAIAAxACwAIABhAG4AZAAgAFAAIABkAG8AdwBuACAAYgB5ACAAQgAuAFwAbgAgACAAIAAgACAAIAAgACAAcABhAGMAawBlAGQAXwBzAHQAYQB0AGUAXwBzAHcAZQBwAHQAXwBkAG8AdwBuACwAIABSAEUARABVAEMARQAoAGkAbgBpAHQAaQBhAGwAXwBwAGEAYwBrAGUAZABfAHMAdABhAHQAZQAsACAAewAxADsAIAAyAH0ALAAgAEwAQQBNAEIARABBACgAcABhAGMAawBlAGQAXwBzAHQAYQB0AGUALAAgAGkALABcAG4AIAAgACAAIAAgACAAIAAgACAAIAAgACAATABFAFQAKABcAG4AIAAgACAAIAAgACAAIAAgACAAIAAgACAAIAAgACAAIABsAGUAbgBfAHEALAAgAEkATgBEAEUAWAAoAHAAYQBjAGsAZQBkAF8AcwB0AGEAdABlACwAIAAxACwAIAAxACkALABcAG4AIAAgACAAIAAgACAAIAAgACAAIAAgACAAIAAgACAAIABsAGkAbQBiAHMAXwBjAHUAcgByAGUAbgB0AF8AcQAsACAAQwBIAE8ATwBTAEUAUgBPAFcAUwAoAHAAYQBjAGsAZQBkAF8AcwB0AGEAdABlACwAIABTAEUAUQBVAEUATgBDAEUAKABsAGUAbgBfAHEALAAgADEALAAgADIAKQApACwAXABuACAAIAAgACAAIAAgACAAIAAgACAAIAAgACAAIAAgACAAbABpAG0AYgBzAF8AYwB1AHIAcgBlAG4AdABfAHAALAAgAEQAUgBPAFAAKABwAGEAYwBrAGUAZABfAHMAdABhAHQAZQAsACAAbABlAG4AXwBxACAAKwAgADEAKQAsAFwAbgBcAG4AIAAgACAAIAAgACAAIAAgACAAIAAgACAAIAAgACAAIABJAEYAKABjAG8AcgBlAF8AQgBpAGcASQBuAHQALgBVAEMAbwBtAHAAYQByAGUAKABsAGkAbQBiAHMAXwBjAHUAcgByAGUAbgB0AF8AcAAsACAAbABpAG0AYgBzAF8AYQApACAAPAA9ACAAMAAsACAAcABhAGMAawBlAGQAXwBzAHQAYQB0AGUALABcAG4AIAAgACAAIAAgACAAIAAgACAAIAAgACAAIAAgACAAIAAgACAAIAAgAEwARQBUACgAXABuACAAIAAgACAAIAAgACAAIAAgACAAIAAgACAAIAAgACAAIAAgACAAIAAgACAAIAAgAGwAaQBtAGIAcwBfAG4AZQB4AHQAXwBxACwAIABjAG8AcgBlAF8AQgBpAGcASQBuAHQALgBVAFMAdQBiACgAbABpAG0AYgBzAF8AYwB1AHIAcgBlAG4AdABfAHEALAAgAHsAMQB9ACwAIABrACkALABcAG4AIAAgACAAIAAgACAAIAAgACAAIAAgACAAIAAgACAAIAAgACAAIAAgACAAIAAgACAAbABpAG0AYgBzAF8AbgBlAHgAdABfAHAALAAgAGMAbwByAGUAXwBCAGkAZwBJAG4AdAAuAFUAUwB1AGIAKABsAGkAbQBiAHMAXwBjAHUAcgByAGUAbgB0AF8AcAAsACAAbABpAG0AYgBzAF8AYgAsACAAawApACwAXABuACAAIAAgACAAIAAgACAAIAAgACAAIAAgACAAIAAgACAAIAAgACAAIAAgACAAIAAgAFYAUwBUAEEAQwBLACgAUgBPAFcAUwAoAGwAaQBtAGIAcwBfAG4AZQB4AHQAXwBxACkALAAgAGwAaQBtAGIAcwBfAG4AZQB4AHQAXwBxACwAIABsAGkAbQBiAHMAXwBuAGUAeAB0AF8AcAApAFwAbgAgACAAIAAgACAAIAAgACAAIAAgACAAIAAgACAAIAAgACAAIAAgACAAK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ABhAGMAawBlAGQAXwBzAHQAYQB0AGUAXwBzAHcAZQBwAHQAXwB1AHAALAAgAFIARQBEAFUAQwBFACgAcABhAGMAawBlAGQAXwBzAHQAYQB0AGUAXwBzAHcAZQBwAHQAXwBkAG8AdwBuACwAIAB7ADEAOwAgADIAfQAsACAATABBAE0AQgBEAEEAKABwAGEAYwBrAGUAZABfAHMAdABhAHQAZQAsACAAaQAsAFwAbgAgACAAIAAgACAAIAAgACAAIAAgACAAIABMAEUAVAAoAFwAbgAgACAAIAAgACAAIAAgACAAIAAgACAAIAAgACAAIAAgAGwAZQBuAF8AcQAsACAASQBOAEQARQBYACgAcABhAGMAawBlAGQAXwBzAHQAYQB0AGUALAAgADEALAAgADEAKQAsAFwAbgAgACAAIAAgACAAIAAgACAAIAAgACAAIAAgACAAIAAgAGwAaQBtAGIAcwBfAGMAdQByAHIAZQBuAHQAXwBxACwAIABDAEgATwBPAFMARQBSAE8AVwBTACgAcABhAGMAawBlAGQAXwBzAHQAYQB0AGUALAAgAFMARQBRAFUARQBOAEMARQAoAGwAZQBuAF8AcQAsACAAMQAsACAAMgApACkALABcAG4AIAAgACAAIAAgACAAIAAgACAAIAAgACAAIAAgACAAIABsAGkAbQBiAHMAXwBjAHUAcgByAGUAbgB0AF8AcAAsACAARABSAE8AUAAoAHAAYQBjAGsAZQBkAF8AcwB0AGEAdABlACwAIABsAGUAbgBfAHEAIAArACAAMQApACwAXABuAFwAbgAgACAAIAAgACAAIAAgACAAIAAgACAAIAAgACAAIAAgAGwAaQBtAGIAcwBfAG4AZQB4AHQAXwBwAF8AdABlAHMAdAAsACAAYwBvAHIAZQBfAEIAaQBnAEkAbgB0AC4AVQBBAGQAZAAoAGwAaQBtAGIAcwBfAGMAdQByAHIAZQBuAHQAXwBwACwAIABsAGkAbQBiAHMAXwBiACwAIABrACkALABcAG4AXABuACAAIAAgACAAIAAgACAAIAAgACAAIAAgACAAIAAgACAASQBGACgAYwBvAHIAZQBfAEIAaQBnAEkAbgB0AC4AVQBDAG8AbQBwAGEAcgBlACgAbABpAG0AYgBzAF8AbgBlAHgAdABfAHAAXwB0AGUAcwB0ACwAIABsAGkAbQBiAHMAXwBhACkAIAA+ACAAMAAsACAAcABhAGMAawBlAGQAXwBzAHQAYQB0AGUALABcAG4AIAAgACAAIAAgACAAIAAgACAAIAAgACAAIAAgACAAIAAgACAAIAAgAEwARQBUACgAXABuACAAIAAgACAAIAAgACAAIAAgACAAIAAgACAAIAAgACAAIAAgACAAIAAgACAAIAAgAGwAaQBtAGIAcwBfAG4AZQB4AHQAXwBxACwAIABjAG8AcgBlAF8AQgBpAGcASQBuAHQALgBVAEEAZABkACgAbABpAG0AYgBzAF8AYwB1AHIAcgBlAG4AdABfAHEALAAgAHsAMQB9ACwAIABrACkALABcAG4AIAAgACAAIAAgACAAIAAgACAAIAAgACAAIAAgACAAIAAgACAAIAAgACAAIAAgACAAVgBTAFQAQQBDAEsAKABSAE8AVwBTACgAbABpAG0AYgBzAF8AbgBlAHgAdABfAHEAKQAsACAAbABpAG0AYgBzAF8AbgBlAHgAdABfAHEALAAgAGwAaQBtAGIAcwBfAG4AZQB4AHQAXwBwAF8AdABlAHMAdAApAFwAbgAgACAAIAAgACAAIAAgACAAIAAgACAAIAAgACAAIAAgACAAIAAgACAAKQBcAG4AIAAgACAAIAAgACAAIAAgACAAIAAgACAAIAAgACAAIAApAFwAbgAgACAAIAAgACAAIAAgACAAIAAgACAAIAApAFwAbgAgACAAIAAgACAAIAAgACAAKQApACwAXABuAFwAbgAgACAAIAAgACAAIAAgACAALwAvACAARQB4AHQAcgBhAGMAdAAgAEYAaQBuAGEAbAAgAFEAIABhAG4AZAAgAFAAXABuACAAIAAgACAAIAAgACAAIABsAGUAbgBfAHEALAAgAEkATgBEAEUAWAAoAHAAYQBjAGsAZQBkAF8AcwB0AGEAdABlAF8AcwB3AGUAcAB0AF8AdQBwACwAIAAxACwAIAAxACkALABcAG4AIAAgACAAIAAgACAAIAAgAGwAaQBtAGIAcwBfAHEALAAgAEMASABPAE8AUwBFAFIATwBXAFMAKABwAGEAYwBrAGUAZABfAHMAdABhAHQAZQBfAHMAdwBlAHAAdABfAHUAcAAsACAAUwBFAFEAVQBFAE4AQwBFACgAbABlAG4AXwBxACwAIAAxACwAIAAyACkAKQAsAFwAbgAgACAAIAAgACAAIAAgACAAbABpAG0AYgBzAF8AcAAsACAARABSAE8AUAAoAHAAYQBjAGsAZQBkAF8AcwB0AGEAdABlAF8AcwB3AGUAcAB0AF8AdQBwACwAIABsAGUAbgBfAHEAIAArACAAMQApACwAXABuAFwAbgAgACAAIAAgACAAIAAgACAALwAvACAANAAuACAARQB4AHQAcgBhAGMAdAAgAFQAcgB1AGUAIABSAGUAbQBhAGkAbgBkAGUAcgAgAFMAYQBmAGUAbAB5ACAAKABBACAALQAgAEYAaQBuAGEAbABfAFAAKQBcAG4AIAAgACAAIAAgACAAIAAgAGwAaQBtAGIAcwBfAHIALAAgAGMAbwByAGUAXwBCAGkAZwBJAG4AdAAuAFUAUwB1AGIAKABsAGkAbQBiAHMAXwBhACwAIABsAGkAbQBiAHMAXwBwACwAIABrACkALABcAG4AXABuACAAIAAgACAAIAAgACAAIABWAFMAVABBAEMASwAoAFwAbgAgACAAIAAgACAAIAAgACAAIAAgACAAIABSAE8AVwBTACgAbABpAG0AYgBzAF8AcgApACwAXABuACAAIAAgACAAIAAgACAAIAAgACAAIAAgAGwAaQBtAGIAcwBfAHIALABcAG4AIAAgACAAIAAgACAAIAAgACAAIAAgACAAbABpAG0AYgBzAF8AcQBcAG4AIAAgACAAIAAgACAAIAAgACkAXABuACAAIAAgACAAKQBcAG4AKQA7AFwAbgBcAG4ALwAqACoAXABuACAAKgAgAFsASQBuAHQAZQByAG4AYQBsAF0AIABSAGUAdAB1AHIAbgBzACAAYgBhAHMAZQBeAGUAeABwAG8AbgBlAG4AdAAgAHUAcwBpAG4AZwAgAEwAZQBmAHQALQB0AG8ALQBSAGkAZwBoAHQAIABlAHYAYQBsAHUAYQB0AGkAbwBuACAAYQBuAGQAIABhACAAMQAtADkAIABwAG8AdwBlAHIAIABjAGEAYwBoAGUALgBcAG4AIAAqACAAWwBsAGkAbQBiAHMAXwBiAGEAcwBlADoAIABBAHIAcgBhAHkALAAgAGUAeABwAG8AbgBlAG4AdABfAHMAdAByAGkAbgBnADoAIABUAGUAeAB0ACwAIABrADoAIABpAG4AdABdAFwAbgAgACoALwBcAG4AVQBQAG8AdwAgAD0AIABMAEEATQBCAEQAQQAoAGwAaQBtAGIAcwBfAGIAYQBzAGUALAAgAGUAeABwAG8AbgBlAG4AdABfAHMAdAByAGkAbgBnACwAIABrACwAXABuACAAIAAgACAATABFAFQAKABcAG4AIAAgACAAIAAgACAAIAAgAC8ALwAgAFAAcgBlAC0AYwBvAG0AcAB1AHQAZQAgAHAAbwB3AGUAcgBzACAAMQAgAHQAaAByAG8AdQBnAGgAIAA5ACAAdABvACAAbQBpAG4AaQBtAGkAegBlACAAbQB1AGwAdABpAHAAbABpAGMAYQB0AGkAbwBuAHMAIABpAG4AcwBpAGQAZQAgAHQAaABlACAAbQBhAGkAbgAgAGQAaQBnAGkAdAAgAGwAbwBvAHAALgBcAG4AIAAgACAAIAAgACAAIAAgAGwAaQBtAGIAcwBfAGIAYQBzAGUAMQAsACAAbABpAG0AYgBzAF8AYgBhAHMAZQAsAFwAbgAgACAAIAAgACAAIAAgACAAbABpAG0AYgBzAF8AYgBhAHMAZQAyACwAIABjAG8AcgBlAF8AQgBpAGcASQBuAHQALgBVAE0AdQBsACgAbABpAG0AYgBzAF8AYgBhAHMAZQAxACwAIABsAGkAbQBiAHMAXwBiAGEAcwBlADEALAAgAGsAKQAsAFwAbgAgACAAIAAgACAAIAAgACAAbABpAG0AYgBzAF8AYgBhAHMAZQAzACwAIABjAG8AcgBlAF8AQgBpAGcASQBuAHQALgBVAE0AdQBsACgAbABpAG0AYgBzAF8AYgBhAHMAZQAyACwAIABsAGkAbQBiAHMAXwBiAGEAcwBlADEALAAgAGsAKQAsAFwAbgAgACAAIAAgACAAIAAgACAAbABpAG0AYgBzAF8AYgBhAHMAZQA0ACwAIABjAG8AcgBlAF8AQgBpAGcASQBuAHQALgBVAE0AdQBsACgAbABpAG0AYgBzAF8AYgBhAHMAZQAyACwAIABsAGkAbQBiAHMAXwBiAGEAcwBlADIALAAgAGsAKQAsAFwAbgAgACAAIAAgACAAIAAgACAAbABpAG0AYgBzAF8AYgBhAHMAZQA1ACwAIABjAG8AcgBlAF8AQgBpAGcASQBuAHQALgBVAE0AdQBsACgAbABpAG0AYgBzAF8AYgBhAHMAZQA0ACwAIABsAGkAbQBiAHMAXwBiAGEAcwBlADEALAAgAGsAKQAsAFwAbgAgACAAIAAgACAAIAAgACAAbABpAG0AYgBzAF8AYgBhAHMAZQA2ACwAIABjAG8AcgBlAF8AQgBpAGcASQBuAHQALgBVAE0AdQBsACgAbABpAG0AYgBzAF8AYgBhAHMAZQAzACwAIABsAGkAbQBiAHMAXwBiAGEAcwBlADMALAAgAGsAKQAsAFwAbgAgACAAIAAgACAAIAAgACAAbABpAG0AYgBzAF8AYgBhAHMAZQA3ACwAIABjAG8AcgBlAF8AQgBpAGcASQBuAHQALgBVAE0AdQBsACgAbABpAG0AYgBzAF8AYgBhAHMAZQA2ACwAIABsAGkAbQBiAHMAXwBiAGEAcwBlADEALAAgAGsAKQAsAFwAbgAgACAAIAAgACAAIAAgACAAbABpAG0AYgBzAF8AYgBhAHMAZQA4ACwAIABjAG8AcgBlAF8AQgBpAGcASQBuAHQALgBVAE0AdQBsACgAbABpAG0AYgBzAF8AYgBhAHMAZQA0ACwAIABsAGkAbQBiAHMAXwBiAGEAcwBlADQALAAgAGsAKQAsAFwAbgAgACAAIAAgACAAIAAgACAAbABpAG0AYgBzAF8AYgBhAHMAZQA5ACwAIABjAG8AcgBlAF8AQgBpAGcASQBuAHQALgBVAE0AdQBsACgAbABpAG0AYgBzAF8AYgBhAHMAZQA4ACwAIABsAGkAbQBiAHMAXwBiAGEAcwBlADEALAAgAGsAKQAsAFwAbgBcAG4AIAAgACAAIAAgACAAIAAgAGUAeABwAG8AbgBlAG4AdABfAGQAaQBnAGkAdABzACwAIAAtAC0ATQBJAEQAKABlAHgAcABvAG4AZQBuAHQAXwBzAHQAcgBpAG4AZwAsACAAUwBFAFEAVQBFAE4AQwBFACgATABFAE4AKABlAHgAcABvAG4AZQBuAHQAXwBzAHQAcgBpAG4AZwApACkALAAgADEAKQAsAFwAbgBcAG4AIAAgACAAIAAgACAAIAAgAFIARQBEAFUAQwBFACgAMQAsACAAZQB4AHAAbwBuAGUAbgB0AF8AZABpAGcAaQB0AHMALAAgAEwAQQBNAEIARABBACgAbABpAG0AYgBzAF8AYQBjAGMAdQBtAHUAbABhAHQAbwByACwAIABjAHUAcgByAGUAbgB0AF8AZABpAGcAaQB0ACwAXABuACAAIAAgACAAIAAgACAAIAAgACAAIAAgAEwARQBUACgAXABuACAAIAAgACAAIAAgACAAIAAgACAAIAAgACAAIAAgACAALwAvACAATwBwAHQAaQBtAGkAegBlACAAdABoAGUAIABsAGUAYQBkAGkAbgBnACAAZQBkAGcAZQAgAHQAbwAgAGEAdgBvAGkAZAAgAHIAZQBkAHUAbgBkAGEAbgB0ACAAbQB1AGwAdABpAHAAbABpAGMAYQB0AGkAbwBuAHMAIABiAHkAIAAxAC4AXABuACAAIAAgACAAIAAgACAAIAAgACAAIAAgACAAIAAgACAAaQBzAF8AbwBuAGUALAAgAEEATgBEACgAUgBPAFcAUwAoAGwAaQBtAGIAcwBfAGEAYwBjAHUAbQB1AGwAYQB0AG8AcgApACAAPQAgADEALAAgAEkATgBEAEUAWAAoAGwAaQBtAGIAcwBfAGEAYwBjAHUAbQB1AGwAYQB0AG8AcgAsACAAMQAsACAAMQApACAAPQAgADEAKQAsAFwAbgBcAG4AIAAgACAAIAAgACAAIAAgACAAIAAgACAAIAAgACAAIAAvAC8AIAAxAC4AIABSAGEAaQBzAGUAIABBAGMAYwAgAHQAbwAgAHQAaABlACAAMQAwAHQAaAAgAHAAbwB3AGUAcgBcAG4AIAAgACAAIAAgACAAIAAgACAAIAAgACAAIAAgACAAIABsAGkAbQBiAHMAXwBhAGMAYwBfADEAMAAsACAASQBGACgAaQBzAF8AbwBuAGUALAAgAGwAaQBtAGIAcwBfAGEAYwBjAHUAbQB1AGwAYQB0AG8AcgAsAFwAbgAgACAAIAAgACAAIAAgACAAIAAgACAAIAAgACAAIAAgACAAIAAgACAATABFAFQAKABcAG4AIAAgACAAIAAgACAAIAAgACAAIAAgACAAIAAgACAAIAAgACAAIAAgACAAIAAgACAAbABpAG0AYgBzAF8AYQBjAGMAXwAyACwAIABjAG8AcgBlAF8AQgBpAGcASQBuAHQALgBVAE0AdQBsACgAbABpAG0AYgBzAF8AYQBjAGMAdQBtAHUAbABhAHQAbwByACwAIABsAGkAbQBiAHMAXwBhAGMAYwB1AG0AdQBsAGEAdABvAHIALAAgAGsAKQAsAFwAbgAgACAAIAAgACAAIAAgACAAIAAgACAAIAAgACAAIAAgACAAIAAgACAAIAAgACAAIABsAGkAbQBiAHMAXwBhAGMAYwBfADQALAAgAGMAbwByAGUAXwBCAGkAZwBJAG4AdAAuAFUATQB1AGwAKABsAGkAbQBiAHMAXwBhAGMAYwBfADIALAAgAGwAaQBtAGIAcwBfAGEAYwBjAF8AMgAsACAAawApACwAXABuACAAIAAgACAAIAAgACAAIAAgACAAIAAgACAAIAAgACAAIAAgACAAIAAgACAAIAAgAGwAaQBtAGIAcwBfAGEAYwBjAF8AOAAsACAAYwBvAHIAZQBfAEIAaQBnAEkAbgB0AC4AVQBNAHUAbAAoAGwAaQBtAGIAcwBfAGEAYwBjAF8ANAAsACAAbABpAG0AYgBzAF8AYQBjAGMAXwA0ACwAIABrACkALABcAG4AIAAgACAAIAAgACAAIAAgACAAIAAgACAAIAAgACAAIAAgACAAIAAgACAAIAAgACAAYwBvAHIAZQBfAEIAaQBnAEkAbgB0AC4AVQBNAHUAbAAoAGwAaQBtAGIAcwBfAGEAYwBjAF8AOAAsACAAbABpAG0AYgBzAF8AYQBjAGMAXwAyACwAIABrACkAXABuACAAIAAgACAAIAAgACAAIAAgACAAIAAgACAAIAAgACAAIAAgACAAIAApAFwAbgAgACAAIAAgACAAIAAgACAAIAAgACAAIAAgACAAIAAgACkALABcAG4AXABuACAAIAAgACAAIAAgACAAIAAgACAAIAAgACAAIAAgACAALwAvACAAMgAuACAATQB1AGwAdABpAHAAbAB5ACAAYgB5ACAAdABoAGUAIABjAG8AcgByAGUAcwBwAG8AbgBkAGkAbgBnACAAYwBhAGMAaABlAGQAIAB2AGEAbAB1AGUAXABuACAAIAAgACAAIAAgACAAIAAgACAAIAAgACAAIAAgACAASQBGACgAYwB1AHIAcgBlAG4AdABfAGQAaQBnAGkAdAAgAD0AIAAwACwAIABsAGkAbQBiAHMAXwBhAGMAYwBfADEAMAAsAFwAbgAgACAAIAAgACAAIAAgACAAIAAgACAAIAAgACAAIAAgACAAIAAgACAATABFAFQAKABcAG4AIAAgACAAIAAgACAAIAAgACAAIAAgACAAIAAgACAAIAAgACAAIAAgACAAIAAgACAAbABpAG0AYgBzAF8AYwBhAGMAaABlAF8AbQB1AGwAdABpAHAAbABpAGUAcgAsACAAQwBIAE8ATwBTAEUAKABjAHUAcgByAGUAbgB0AF8AZABpAGcAaQB0ACwAIABsAGkAbQBiAHMAXwBiAGEAcwBlADEALAAgAGwAaQBtAGIAcwBfAGIAYQBzAGUAMgAsACAAbABpAG0AYgBzAF8AYgBhAHMAZQAzACwAIABsAGkAbQBiAHMAXwBiAGEAcwBlADQALAAgAGwAaQBtAGIAcwBfAGIAYQBzAGUANQAsACAAbABpAG0AYgBzAF8AYgBhAHMAZQA2ACwAIABsAGkAbQBiAHMAXwBiAGEAcwBlADcALAAgAGwAaQBtAGIAcwBfAGIAYQBzAGUAOAAsACAAbABpAG0AYgBzAF8AYgBhAHMAZQA5ACkALABcAG4AIAAgACAAIAAgACAAIAAgACAAIAAgACAAIAAgACAAIAAgACAAIAAgACAAIAAgACAASQBGACgAaQBzAF8AbwBuAGUALAAgAGwAaQBtAGIAcwBfAGMAYQBjAGgAZQBfAG0AdQBsAHQAaQBwAGwAaQBlAHIALAAgAGMAbwByAGUAXwBCAGkAZwBJAG4AdAAuAFUATQB1AGwAKABsAGkAbQBiAHMAXwBhAGMAYwBfADEAMAAsACAAbABpAG0AYgBzAF8AYwBhAGMAaABlAF8AbQB1AGwAdABpAHAAbABpAGUAcgAsACAAawApACkAXABuACAAIAAgACAAIAAgACAAIAAgACAAIAAgACAAIAAgACAAIAAgACAAIAApAFwAbgAgACAAIAAgACAAIAAgACAAIAAgACAAIAAgACAAIAAgACkAXABuACAAIAAgACAAIAAgACAAIAAgACAAIAAgACkAXABuACAAIAAgACAAIAAgACAAIAApACkAXABuACAAIAAgACAAKQBcAG4AKQA7AFwAbgBcAG4ALwAqACoAXABuACAAKgAgAFsASQBuAHQAZQByAG4AYQBsAF0AIABSAGUAdAB1AHIAbgBzACAAdABoAGUAIABpAG4AdABlAGcAZQByACAAcwBxAHUAYQByAGUAIAByAG8AbwB0ACAAbwBmACAAdABoAGUAIAByAGEAZABpAGMAYQBuAGQAIAB1AHMAaQBuAGcAIABOAGUAdwB0AG8AbgAnAHMAIABNAGUAdABoAG8AZAAuAFwAbgAgACoAIABbAGwAaQBtAGIAcwBfAHIAYQBkAGkAYwBhAG4AZAA6ACAAQQByAHIAYQB5ACwAIABsAGkAbQBiAHMAXwBpAG4AaQB0AGkAYQBsAF8AeAA6ACAAQQByAHIAYQB5ACwAIABrADoAIABpAG4AdABdAFwAbgAgACoALwBcAG4AVQBTAHEAcgB0ACAAPQAgAEwAQQBNAEIARABBACgAbABpAG0AYgBzAF8AcgBhAGQAaQBjAGEAbgBkACwAIABsAGkAbQBiAHMAXwBpAG4AaQB0AGkAYQBsAF8AeAAsACAAawAsAFwAbgAgACAAIAAgAEwARQBUACgAXABuACAAIAAgACAAIAAgACAAIABtAGEAeABpAG0AdQBtAF8AaQB0AGUAcgBhAHQAaQBvAG4AcwAsACAAMwA1ACwAXABuAFwAbgAgACAAIAAgACAAIAAgACAAZgBpAG4AYQBsAF8AcABhAGMAawBlAGQAXwBzAHQAYQB0AGUALAAgAFIARQBEAFUAQwBFACgAVgBTAFQAQQBDAEsAKAAwACwAIABsAGkAbQBiAHMAXwBpAG4AaQB0AGkAYQBsAF8AeAApACwAIABTAEUAUQBVAEUATgBDAEUAKABtAGEAeABpAG0AdQBtAF8AaQB0AGUAcgBhAHQAaQBvAG4AcwApACwAIABMAEEATQBCAEQAQQAoAHAAYQBjAGsAZQBkAF8AcwB0AGEAdABlACwAIABpACwAXABuACAAIAAgACAAIAAgACAAIAAgACAAIAAgAEwARQBUACgAXABuACAAIAAgACAAIAAgACAAIAAgACAAIAAgACAAIAAgACAAaABhAHMAXwBjAG8AbgB2AGUAcgBnAGUAZAAsACAASQBOAEQARQBYACgAcABhAGMAawBlAGQAXwBzAHQAYQB0AGUALAAgADEALAAgADEAKQAsAFwAbgAgACAAIAAgACAAIAAgACAAIAAgACAAIAAgACAAIAAgAGwAaQBtAGIAcwBfAGMAdQByAHIAZQBuAHQAXwB4ACwAIABEAFIATwBQACgAcABhAGMAawBlAGQAXwBzAHQAYQB0AGUALAAgADEAKQAsAFwAbgBcAG4AIAAgACAAIAAgACAAIAAgACAAIAAgACAAIAAgACAAIABJAEYAKABoAGEAcwBfAGMAbwBuAHYAZQByAGcAZQBkACwAIABwAGEAYwBrAGUAZABfAHMAdABhAHQAZQAsAFwAbgAgACAAIAAgACAAIAAgACAAIAAgACAAIAAgACAAIAAgACAAIAAgACAATABFAFQAKABcAG4AIAAgACAAIAAgACAAIAAgACAAIAAgACAAIAAgACAAIAAgACAAIAAgACAAIAAgACAALwAvACAAMQAuACAARABpAHYAaQBzAGkAbwBuADoAIABuACAALwAgAHgAXABuACAAIAAgACAAIAAgACAAIAAgACAAIAAgACAAIAAgACAAIAAgACAAIAAgACAAIAAgAHAAYQBjAGsAZQBkAF8AZABpAHYAaQBzAGkAbwBuAF8AcgBlAHMAdQBsAHQALAAgAGMAbwByAGUAXwBCAGkAZwBJAG4AdAAuAEQAaQB2AFIAbwB1AHQAZQByACgAbABpAG0AYgBzAF8AcgBhAGQAaQBjAGEAbgBkACwAIABsAGkAbQBiAHMAXwBjAHUAcgByAGUAbgB0AF8AeAAsACAAawApACwAXABuACAAIAAgACAAIAAgACAAIAAgACAAIAAgACAAIAAgACAAIAAgACAAIAAgACAAIAAgAG4AdQBtAF8AbABpAG0AYgBzAF8AcgAsACAASQBOAEQARQBYACgAcABhAGMAawBlAGQAXwBkAGkAdgBpAHMAaQBvAG4AXwByAGUAcwB1AGwAdAAsACAAMQAsACAAMQApACwAXABuACAAIAAgACAAIAAgACAAIAAgACAAIAAgACAAIAAgACAAIAAgACAAIAAgACAAIAAgAGwAaQBtAGIAcwBfAHEALAAgAEQAUgBPAFAAKABwAGEAYwBrAGUAZABfAGQAaQB2AGkAcwBpAG8AbgBfAHIAZQBzAHUAbAB0ACwAIABuAHUAbQBfAGwAaQBtAGIAcwBfAHIAIAArACAAMQApACwAXABuAFwAbgAgACAAIAAgACAAIAAgACAAIAAgACAAIAAgACAAIAAgACAAIAAgACAAIAAgACAAIAAvAC8AIAAyAC4AIABBAGQAZABpAHQAaQBvAG4AOgAgAHgAIAArACAAKABuACAALwAgAHgAKQBcAG4AIAAgACAAIAAgACAAIAAgACAAIAAgACAAIAAgACAAIAAgACAAIAAgACAAIAAgACAAbABpAG0AYgBzAF8AcwB1AG0AXwB4AHEALAAgAGMAbwByAGUAXwBCAGkAZwBJAG4AdAAuAFUAQQBkAGQAKABsAGkAbQBiAHMAXwBjAHUAcgByAGUAbgB0AF8AeAAsACAAbABpAG0AYgBzAF8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wAGEAYwBrAGUAZABfAGgAYQBsAGYAXwByAGUAcwB1AGwAdAAsACAAYwBvAHIAZQBfAEIAaQBnAEkAbgB0AC4ASwBuAHUAdABoAEQAaQB2ACgAbABpAG0AYgBzAF8AcwB1AG0AXwB4AHEALAAgAHsAMgB9ACwAIABrACkALABcAG4AIAAgACAAIAAgACAAIAAgACAAIAAgACAAIAAgACAAIAAgACAAIAAgACAAIAAgACAAbgB1AG0AXwBsAGkAbQBiAHMAXwBoAGEAbABmAGUAZAAsACAASQBOAEQARQBYACgAcABhAGMAawBlAGQAXwBoAGEAbABmAF8AcgBlAHMAdQBsAHQALAAgADEALAAgADEAKQAsAFwAbgAgACAAIAAgACAAIAAgACAAIAAgACAAIAAgACAAIAAgACAAIAAgACAAIAAgACAAIABsAGkAbQBiAHMAXwBuAGUAeAB0AF8AeAAsACAARABSAE8AUAAoAHAAYQBjAGsAZQBkAF8AaABhAGwAZgBfAHIAZQBzAHUAbAB0ACwAIABuAHUAbQBfAGwAaQBtAGIAcwBfAGgAYQBsAGYAZQBkACAAKwAgADEAKQAsAFwAbgBcAG4AIAAgACAAIAAgACAAIAAgACAAIAAgACAAIAAgACAAIAAgACAAIAAgACAAIAAgACAALwAvACAANAAuACAAQwBvAG4AdgBlAHIAZwBlAG4AYwBlACAAQwBoAGUAYwBrAFwAbgAgACAAIAAgACAAIAAgACAAIAAgACAAIAAgACAAIAAgACAAIAAgACAAIAAgACAAIABjAG8AbgB2AGUAcgBnAGUAbgBjAGUAXwBjAG8AbQBwAGEAcgBpAHMAbwBuACwAIABjAG8AcgBlAF8AQgBpAGcASQBuAHQALgBVAEMAbwBtAHAAYQByAGUAKABsAGkAbQBiAHMAXwBuAGUAeAB0AF8AeAAsACAAbABpAG0AYgBzAF8AYwB1AHIAcgBlAG4AdABfAHgAKQAsAFwAbgBcAG4AIAAgACAAIAAgACAAIAAgACAAIAAgACAAIAAgACAAIAAgACAAIAAgACAAIAAgACAALwAvACAATgBlAHcAdABvAG4AJwBzACAAbQBlAHQAaABvAGQAIABjAG8AbgB2AGUAcgBnAGUAcwAgAG8AbgAgAHQAaABlACAAZgBsAG8AbwByACAAcgBvAG8AdAAgAGEAbgBkACAAcwB0AGEAYgBpAGwAaQB6AGUAcwAgAG8AcgAgAG8AcwBjAGkAbABsAGEAdABlAHMAIAB1AHAAIABiAHkAIAAxAC4AXABuACAAIAAgACAAIAAgACAAIAAgACAAIAAgACAAIAAgACAAIAAgACAAIAAgACAAIAAgAC8ALwAgAFQAaABlAHIAZQBmAG8AcgBlACwAIABpAGYAIAB4AF8AbgBlAHgAdAAgAD4APQAgAGMAdQByAHIAXwB4ACwAIAB0AGgAZQAgAGEAbABnAG8AcgBpAHQAaABtACAAaABhAHMAIABjAG8AbgB2AGUAcgBnAGUAZAAuAFwAbgAgACAAIAAgACAAIAAgACAAIAAgACAAIAAgACAAIAAgACAAIAAgACAAIAAgACAAIABJAEYAKABjAG8AbgB2AGUAcgBnAGUAbgBjAGUAXwBjAG8AbQBwAGEAcgBpAHMAbwBuACAAPgA9ACAAMAAsAFwAbgAgACAAIAAgACAAIAAgACAAIAAgACAAIAAgACAAIAAgACAAIAAgACAAIAAgACAAIAAgACAAIAAgAFYAUwBUAEEAQwBLACgAMQAsACAAbABpAG0AYgBzAF8AYwB1AHIAcgBlAG4AdABfAHgAKQAsAFwAbgAgACAAIAAgACAAIAAgACAAIAAgACAAIAAgACAAIAAgACAAIAAgACAAIAAgACAAIAAgACAAIAAgAFYAUwBUAEEAQwBLACgAMAAsACAAbABpAG0AYgBzAF8AbgBlAHgAdABfAHgAKQBcAG4AIAAgACAAIAAgACAAIAAgACAAIAAgACAAIAAgACAAIAAgACAAIAAgACAAIAAgACAAKQBcAG4AIAAgACAAIAAgACAAIAAgACAAIAAgACAAIAAgACAAIAAgACAAIAAgACkAXABuACAAIAAgACAAIAAgACAAIAAgACAAIAAgACAAIAAgACAAKQBcAG4AIAAgACAAIAAgACAAIAAgACAAIAAgACAAKQBcAG4AIAAgACAAIAAgACAAIAAgACkAKQAsAFwAbgBcAG4AIAAgACAAIAAgACAAIAAgAEQAUgBPAFAAKABmAGkAbgBhAGwAXwBwAGEAYwBrAGUAZABfAHMAdABhAHQAZQAsACAAMQApAFwAbgAgACAAIAAgACkAXABuACkAOwBcAG4AXABuAC8AKgAqAFwAbgAgACoAIABbAEkAbgB0AGUAcgBuAGEAbABdACAAUgBlAHQAdQByAG4AcwAgAGEAIAB2AGUAcgB0AGkAYwBhAGwAIABhAHIAcgBhAHkAIABvAGYAIABwAHIAaQBtAGUAIABuAHUAbQBiAGUAcgBzACAAdQBwACAAdABvACAAbgAuAFwAbgAgACoAIABbAG4AOgAgAGkAbgB0AF0AXABuACAAKgAvAFwAbgBOAGEAdABpAHYAZQBQAHIAaQBtAGUAcwAgAD0AIABMAEEATQBCAEQAQQAoAG4ALABcAG4AIAAgACAAIABJAEYAKABuACAAPAAgADIALAAgACMATgBVAE0AIQAsAFwAbgAgACAAIAAgACAAIAAgACAATABFAFQAKABcAG4AIAAgACAAIAAgACAAIAAgACAAIAAgACAAYwBhAG4AZABpAGQAYQB0AGUAXwBzAGUAcQB1AGUAbgBjAGUALAAgAFMARQBRAFUARQBOAEMARQAoAG4AIAAtACAAMQAsACAAMQAsACAAMgApACwAXABuACAAIAAgACAAIAAgACAAIAAgACAAIAAgAEYASQBMAFQARQBSACgAYwBhAG4AZABpAGQAYQB0AGUAXwBzAGUAcQB1AGUAbgBjAGUALAAgAE0AQQBQACgAYwBhAG4AZABpAGQAYQB0AGUAXwBzAGUAcQB1AGUAbgBjAGUALAAgAEwAQQBNAEIARABBACgAYwB1AHIAcgBlAG4AdABfAGMAYQBuAGQAaQBkAGEAdABlACwAXABuACAAIAAgACAAIAAgACAAIAAgACAAIAAgACAAIAAgACAATABFAFQAKABcAG4AIAAgACAAIAAgACAAIAAgACAAIAAgACAAIAAgACAAIAAgACAAIAAgAGwAaQBtAGkAdAAsACAASQBOAFQAKABTAFEAUgBUACgAYwB1AHIAcgBlAG4AdABfAGMAYQBuAGQAaQBkAGEAdABlACkAKQAsAFwAbgAgACAAIAAgACAAIAAgACAAIAAgACAAIAAgACAAIAAgACAAIAAgACAASQBGACgAbABpAG0AaQB0ACAAPAAgADIALAAgAFQAUgBVAEUALABcAG4AIAAgACAAIAAgACAAIAAgACAAIAAgACAAIAAgACAAIAAgACAAIAAgACAAIAAgACAATQBJAE4AKABNAE8ARAAoAGMAdQByAHIAZQBuAHQAXwBjAGEAbgBkAGkAZABhAHQAZQAsACAAUwBFAFEAVQBFAE4AQwBFACgAbABpAG0AaQB0ACAALQAgADEALAAgADEALAAgADIAKQApACkAIAA+ACAAMABcAG4AIAAgACAAIAAgACAAIAAgACAAIAAgACAAIAAgACAAIAAgACAAIAAgACkAXABuACAAIAAgACAAIAAgACAAIAAgACAAIAAgACAAIAAgACAAKQBcAG4AIAAgACAAIAAgACAAIAAgACAAIAAgACAAKQApACkAXABuACAAIAAgACAAIAAgACAAIAApAFwAbgAgACAAIAAgACkAXABuACkAOwBcAG4AXABuAC8AKgAqAFwAbgAgACoAIABbAEkAbgB0AGUAcgBuAGEAbABdACAASABpAGcAaAAtAHAAZQByAGYAbwByAG0AYQBuAGMAZQAgAG0AdQBsAHQAaQBwAGwAaQBjAGEAdABpAG8AbgAgAG8AZgAgAG4AbwByAG0AYQBsAGkAegBlAGQAIABwAG8AcwBpAHQAaQB2AGUAIABzAHQAcgBpAG4AZwBzAC4AIABCAHkAcABhAHMAcwBlAHMAIABMAGEAeQBlAHIAIAAwAC4AXABuACAAKgAgAFsAbgBvAHIAbQBfAGEAOgAgAFQAZQB4AHQALAAgAG4AbwByAG0AXwBiADoAIABUAGUAeAB0AF0AXABuACAAKgAvAFwAbgBVAFQAZQB4AHQATQB1AGwAIAA9ACAATABBAE0AQgBEAEEAKABuAG8AcgBtAF8AYQAsACAAbgBvAHIAbQBfAGIALABcAG4AIAAgACAAIABJAEYAKABPAFIAKABuAG8AcgBtAF8AYQAgAD0AIABcACIAMABcACIALAAgAG4AbwByAG0AXwBiACAAPQAgAFwAIgAwAFwAIgApACwAIABcACIAMABcACIALABcAG4AIAAgACAAIABJAEYAKABuAG8AcgBtAF8AYQAgAD0AIABcACIAMQBcACIALAAgAG4AbwByAG0AXwBiACwAXABuACAAIAAgACAASQBGACgAbgBvAHIAbQBfAGIAIAA9ACAAXAAiADEAXAAiACwAIABuAG8AcgBtAF8AYQAsAFwAbgAgACAAIAAgACAAIAAgACAATABFAFQAKABcAG4AIAAgACAAIAAgACAAIAAgACAAIAAgACAAbABlAG4AXwBhACwAIABMAEUATgAoAG4AbwByAG0AXwBhACkALABcAG4AIAAgACAAIAAgACAAIAAgACAAIAAgACAAbABlAG4AXwBiACwAIABMAEUATgAoAG4AbwByAG0AXwBiACkALABcAG4AIAAgACAAIAAgACAAIAAgACAAIAAgACAAawAsACAAYwBvAHIAZQBfAEIAaQBnAEkAbgB0AC4AUwBhAGYAZQBLACgAXAAiAE0AVQBMAFwAIgAsACAATQBJAE4AKABsAGUAbgBfAGEALAAgAGwAZQBuAF8AYgApACkALABcAG4AXABuACAAIAAgACAAIAAgACAAIAAgACAAIAAgAGwAaQBtAGIAcwBfAGEALAAgAGMAbwByAGUAXwBCAGkAZwBJAG4AdAAuAFMAcABsAGkAdAAoAG4AbwByAG0AXwBhACwAIABrACkALABcAG4AIAAgACAAIAAgACAAIAAgACAAIAAgACAAbABpAG0AYgBzAF8AYgAsACAAYwBvAHIAZQBfAEIAaQBnAEkAbgB0AC4AUwBwAGwAaQB0ACgAbgBvAHIAbQBfAGIALAAgAGsAKQAsAFwAbgBcAG4AIAAgACAAIAAgACAAIAAgACAAIAAgACAAZgBpAG4AYQBsAF8AbABpAG0AYgBzACwAIABjAG8AcgBlAF8AQgBpAGcASQBuAHQALgBVAE0AdQBsACgAbABpAG0AYgBzAF8AYQAsACAAbABpAG0AYgBzAF8AYgAsACAAawApACwAXABuAFwAbgAgACAAIAAgACAAIAAgACAAIAAgACAAIABjAG8AcgBlAF8AQgBpAGcASQBuAHQALgBNAGUAcgBnAGUAKABmAGkAbgBhAGwAXwBsAGkAbQBiAHMALAAgAGsAKQBcAG4AIAAgACAAIAAgACAAIAAgACkAXABuACAAIAAgACAAKQApACkAXABuACkAOwBcAG4AXABuAC8AKgAqAFwAbgAgACoAIABbAEkAbgB0AGUAcgBuAGEAbABdACAAUgBlAHQAdQByAG4AcwAgAHQAaABlACAAcAByAG8AZAB1AGMAdAAgAG8AZgAgAGEAbgAgAGEAcgByAGEAeQAgAG8AZgAgAHMAdAByAGkAbgBnAHMAIAB1AHMAaQBuAGcAIABhACAAcgBlAGMAdQByAHMAaQB2AGUAIAB0AG8AdQByAG4AYQBtAGUAbgB0ACAAdAByAGUAZQAuAFwAbgAgACoAIABbAGEAcgByAF8AcwB0AHIAaQBuAGcAcwA6ACAAQQByAHIAYQB5AF0AXABuACAAKgAvAFwAbgBUAGUAeAB0AFQAcgBlAGUAUAByAG8AZAAgAD0AIABMAEEATQBCAEQAQQAoAGEAcgByAF8AcwB0AHIAaQBuAGcAcwAsAFwAbgAgACAAIAAgAEwARQBUACgAXABuACAAIAAgACAAIAAgACAAIABuAHUAbQBfAGUAbABlAG0AZQBuAHQAcwAsACAAUgBPAFcAUwAoAGEAcgByAF8AcwB0AHIAaQBuAGcAcwApACwAXABuAFwAbgAgACAAIAAgACAAIAAgACAASQBGACgAbgB1AG0AXwBlAGwAZQBtAGUAbgB0AHMAIAA9ACAAMQAsACAASQBOAEQARQBYACgAYQByAHIAXwBzAHQAcgBpAG4AZwBzACwAIAAxACwAIAAxACkALABcAG4AIAAgACAAIAAgACAAIAAgACAAIAAgACAATABFAFQAKABcAG4AIAAgACAAIAAgACAAIAAgACAAIAAgACAAIAAgACAAIAAvAC8AIABSAGUAcwBoAGEAcABlACAAYQByAHIAYQB5ACAAaQBuAHQAbwAgAHAAYQBpAHIAcwAuACAATwBkAGQALQBsAGUAbgBnAHQAaAAgAGEAcgByAGEAeQBzACAAYQByAGUAIABzAGEAZgBlAGwAeQAgAHAAYQBkAGQAZQBkACAAdwBpAHQAaAAgAHQAaABlACAAbQB1AGwAdABpAHAAbABpAGMAYQB0AGkAdgBlACAAaQBkAGUAbgB0AGkAdAB5ACAAXAAiADEAXAAiAC4AXABuACAAIAAgACAAIAAgACAAIAAgACAAIAAgACAAIAAgACAAcABhAGkAcgBlAGQAXwBzAHQAcgBpAG4AZwBzACwAIABXAFIAQQBQAFIATwBXAFMAKABhAHIAcgBfAHMAdAByAGkAbgBnAHMALAAgADIALAAgAFwAIgAxAFwAIgApACwAXABuAFwAbgAgACAAIAAgACAAIAAgACAAIAAgACAAIAAgACAAIAAgAC8ALwAgAFYAZQBjAHQAbwByAGkAegBlAGQAIABtAHUAbAB0AGkAcABsAGkAYwBhAHQAaQBvAG4AIABhAGMAcgBvAHMAcwAgAGEAbABsACAAcABhAGkAcgBzACAAcwBpAG0AdQBsAHQAYQBuAGUAbwB1AHMAbAB5ACAAbQBpAG4AaQBtAGkAegBlAHMAIAByAGUAYwB1AHIAcwBpAHYAZQAgAGQAZQBwAHQAaAAuAFwAbgAgACAAIAAgACAAIAAgACAAIAAgACAAIAAgACAAIAAgAHIAZQBkAHUAYwBlAGQAXwBhAHIAcgBhAHkALAAgAEIAWQBSAE8AVwAoAHAAYQBpAHIAZQBkAF8AcwB0AHIAaQBuAGcAcwAsACAATABBAE0AQgBEAEEAKAByAG8AdwAsACAAVQBUAGUAeAB0AE0AdQBsACgASQBOAEQARQBYACgAcgBvAHcALAAgADEALAAgADEAKQAsACAASQBOAEQARQBYACgAcgBvAHcALAAgADEALAAgADIAKQApACkAKQAsAFwAbgBcAG4AIAAgACAAIAAgACAAIAAgACAAIAAgACAAIAAgACAAIABjAG8AcgBlAF8AQgBpAGcASQBuAHQALgBUAGUAeAB0AFQAcgBlAGUAUAByAG8AZAAoAHIAZQBkAHUAYwBlAGQAXwBhAHIAcgBhAHkAKQBcAG4AIAAgACAAIAAgACAAIAAgACAAIAAgACAAKQBcAG4AIAAgACAAIAAgACAAIAAgACkAXABuACAAIAAgACAAKQBcAG4AKQA7AFwAbgBcAG4ALwAqACoAXABuACAAKgAgAFsASQBuAHQAZQByAG4AYQBsAF0AIABSAGUAdAB1AHIAbgBzACAAdABoAGUAIABlAHgAcABvAG4AZQBuAHQAIABmAG8AcgAgAGUAYQBjAGgAIABwAHIAaQBtAGUAIABpAG4AIAB0AGgAZQAgAFAAcgBpAG0AZQAgAFMAdwBpAG4AZwAgAHQAZQByAG0ALgBcAG4AIAAqACAAWwBuADoAIABpAG4AdAAsACAAcAByAGkAbQBlAHMAOgAgAEEAcgByAGEAeQBdAFwAbgAgACoALwBcAG4ATgBhAHQAaQB2AGUAUwB3AGkAbgBnAEUAeABwAG8AbgBlAG4AdABzACAAPQAgAEwAQQBNAEIARABBACgAbgAsACAAcAByAGkAbQBlAHMALABcAG4AIAAgACAAIABNAEEAUAAoAHAAcgBpAG0AZQBzACwAIABMAEEATQBCAEQAQQAoAHAALABcAG4AIAAgACAAIAAgACAAIAAgAEwARQBUACgAXABuACAAIAAgACAAIAAgACAAIAAgACAAIAAgAG0AYQB4AF8AcABvAHcAZQByAF8AawAsACAASQBOAFQAKABMAE8ARwAoAG4ALAAgAHAAKQApACwAXABuACAAIAAgACAAIAAgACAAIAAgACAAIAAgAHAAcgBpAG0AZQBfAHAAbwB3AGUAcgBzACwAIABwACAAXgAgAFMARQBRAFUARQBOAEMARQAoAG0AYQB4AF8AcABvAHcAZQByAF8AawApACwAXABuACAAIAAgACAAIAAgACAAIAAgACAAIAAgAFMAVQBNACgATQBPAEQAKABJAE4AVAAoAG4AIAAvACAAcAByAGkAbQBlAF8AcABvAHcAZQByAHMAKQAsACAAMgApACkAXABuACAAIAAgACAAIAAgACAAIAApAFwAbgAgACAAIAAgACkAKQBcAG4AKQA7AFwAbgBcAG4ALwAqACoAXABuACAAKgAgAFsASQBuAHQAZQByAG4AYQBsAF0AIABSAGUAdAB1AHIAbgBzACAAdABoAGUAIABTAHcAaQBuAGcAIAB0AGUAcgBtACAAZgBvAHIAIAB0AGgAZQAgAGMAdQByAHIAZQBuAHQAIABmAGEAYwB0AG8AcgBpAGEAbAAgAHQAaQBlAHIAIABhAHMAIABhACAAcwB0AHIAaQBuAGcALgBcAG4AIAAqACAAWwBuADoAIABpAG4AdAAsACAAdABpAGUAcgBfAHAAcgBpAG0AZQBzADoAIABBAHIAcgBhAHkAXQBcAG4AIAAqAC8AXABuAFMAdwBpAG4AZwBUAGUAcgBtACAAPQAgAEwAQQBNAEIARABBACgAbgAsACAAdABpAGUAcgBfAHAAcgBpAG0AZQBzACwAXABuACAAIAAgACAATABFAFQAKABcAG4AIAAgACAAIAAgACAAIAAgAHMAdwBpAG4AZwBfAGUAeABwAG8AbgBlAG4AdABzACwAIABjAG8AcgBlAF8AQgBpAGcASQBuAHQALgBOAGEAdABpAHYAZQBTAHcAaQBuAGcARQB4AHAAbwBuAGUAbgB0AHMAKABuACwAIAB0AGkAZQByAF8AcAByAGkAbQBlAHMAKQAsAFwAbgAgACAAIAAgACAAIAAgACAAaABhAHMAXwBuAGEAdABpAHYAZQBfAGUAeABwAG8AbgBlAG4AdAAsACAAcwB3AGkAbgBnAF8AZQB4AHAAbwBuAGUAbgB0AHMAIAA+ACAAMAAsAFwAbgBcAG4AIAAgACAAIAAgACAAIAAgAC8ALwAgAFAAcgBpAG0AZQBzACAAdwBpAHQAaAAgAGUAeABwAG8AbgBlAG4AdAAgADAAIABkAG8AIABuAG8AdAAgAGMAbwBuAHQAcgBpAGIAdQB0AGUAIAB0AG8AIAB0AGgAZQAgAHMAdwBpAG4AZwAgAHQAZQByAG0ALgBcAG4AIAAgACAAIAAgACAAIAAgAEkARgAoAEEATgBEACgATgBPAFQAKABoAGEAcwBfAG4AYQB0AGkAdgBlAF8AZQB4AHAAbwBuAGUAbgB0ACkAKQAsACAAXAAiADEAXAAiACwAXABuACAAIAAgACAAIAAgACAAIAAgACAAIAAgAEwARQBUACgAXABuACAAIAAgACAAIAAgACAAIAAgACAAIAAgACAAIAAgACAAYQBjAHQAaQB2AGUAXwBwAHIAaQBtAGUAcwAsACAARgBJAEwAVABFAFIAKAB0AGkAZQByAF8AcAByAGkAbQBlAHMALAAgAGgAYQBzAF8AbgBhAHQAaQB2AGUAXwBlAHgAcABvAG4AZQBuAHQAKQAsAFwAbgAgACAAIAAgACAAIAAgACAAIAAgACAAIAAgACAAIAAgAGEAYwB0AGkAdgBlAF8AZQB4AHAAbwBuAGUAbgB0AHMALAAgAEYASQBMAFQARQBSACgAcwB3AGkAbgBnAF8AZQB4AHAAbwBuAGUAbgB0AHMALAAgAGgAYQBzAF8AbgBhAHQAaQB2AGUAXwBlAHgAcABvAG4AZQBuAHQAKQAsAFwAbgBcAG4AIAAgACAAIAAgACAAIAAgACAAIAAgACAAIAAgACAAIABlAHYAYQBsAHUAdABhAHQAZQBkAF8AcAByAGkAbQBlAF8AcABvAHcAZQByAHMALAAgAE0AQQBQACgAYQBjAHQAaQB2AGUAXwBwAHIAaQBtAGUAcwAsACAAYQBjAHQAaQB2AGUAXwBlAHgAcABvAG4AZQBuAHQAcwAsACAATABBAE0AQgBEAEEAKABwACwAIABlACwAXABuACAAIAAgACAAIAAgACAAIAAgACAAIAAgACAAIAAgACAAIAAgACAAIABJAEYAKABlACAAPQAgADEALAAgAHAAIAAmACAAXAAiAFwAIgAsACAAQgBpAGcASQBuAHQALgBQAG8AdwAoAHAAIAAmACAAXAAiAFwAIgAsACAAZQAgACYAIABcACIAXAAiACkAKQBcAG4AIAAgACAAIAAgACAAIAAgACAAIAAgACAAIAAgACAAIAApACkALABcAG4AXABuACAAIAAgACAAIAAgACAAIAAgACAAIAAgACAAIAAgACAAYwBvAHIAZQBfAEIAaQBnAEkAbgB0AC4AVABlAHgAdABUAHIAZQBlAFAAcgBvAGQAKABlAHYAYQBsAHUAdABhAHQAZQBkAF8AcAByAGkAbQBlAF8AcABvAHcAZQByAHMAKQBcAG4AIAAgACAAIAAgACAAIAAgACAAIAAgACAAKQBcAG4AIAAgACAAIAAgACAAIAAgACkAXABuACAAIAAgACAAKQBcAG4AKQA7AFwAbgBcAG4ALwAqACoAXABuACAAKgAgAFsASQBuAHQAZQByAG4AYQBsAF0AIABSAGUAdAB1AHIAbgBzACAAbgAhACAAYQBzACAAYQAgAHMAdAByAGkAbgBnACAAdQBzAGkAbgBnACAAdABoAGUAIAByAGUAYwB1AHIAcwBpAHYAZQAgAFAAcgBpAG0AZQAgAFMAdwBpAG4AZwAgAGEAbABnAG8AcgBpAHQAaABtAC4AXABuACAAKgAgAFsAbgA6ACAAaQBuAHQALAAgAGcAbABvAGIAYQBsAF8AcAByAGkAbQBlAHMAOgAgAEEAcgByAGEAeQBdAFwAbgAgACoALwBcAG4AUAByAGkAbQBlAFMAdwBpAG4AZwBLAGUAcgBuAGUAbAAgAD0AIABMAEEATQBCAEQAQQAoAG4ALAAgAGcAbABvAGIAYQBsAF8AcAByAGkAbQBlAHMALABcAG4AIAAgACAAIABJAEYAKABuACAAPAAgADIALAAgAFwAIgAxAFwAIgAsAFwAbgAgACAAIAAgACAAIAAgACAATABFAFQAKABcAG4AIAAgACAAIAAgACAAIAAgACAAIAAgACAAZgBsAG8AbwByAF8AaABhAGwAZgBfAG4ALAAgAEkATgBUACgAbgAgAC8AIAAyACkALABcAG4AIAAgACAAIAAgACAAIAAgACAAIAAgACAAZgBhAGMAdABvAHIAaQBhAGwAXwBoAGEAbABmAF8AbgAsACAAYwBvAHIAZQBfAEIAaQBnAEkAbgB0AC4AUAByAGkAbQBlAFMAdwBpAG4AZwBLAGUAcgBuAGUAbAAoAGYAbABvAG8AcgBfAGgAYQBsAGYAXwBuACwAIABnAGwAbwBiAGEAbABfAHAAcgBpAG0AZQBzACkALABcAG4AXABuACAAIAAgACAAIAAgACAAIAAgACAAIAAgAC8ALwAgAEYAYQBjAHQAbwByAGkAYQBsAHMAIABhAHIAZQAgAGIAdQBpAGwAdAAgAGIAeQAgAHMAcQB1AGEAcgBpAG4AZwAgAHQAaABlACAAcAByAGUAdgBpAG8AdQBzACAAdABpAGUAcgAgACgAbgAvADIAKQAhACAAYQBuAGQAIABtAHUAbAB0AGkAcABsAHkAaQBuAGcAIABiAHkAIAB0AGgAZQAgAHMAdwBpAG4AZwAgAHQAZQByAG0ALgBcAG4AIAAgACAAIAAgACAAIAAgACAAIAAgACAAcwBxAHUAYQByAGUAZABfAGgAYQBsAGYAXwBmAGEAYwB0AG8AcgBpAGEAbAAsACAAYwBvAHIAZQBfAEIAaQBnAEkAbgB0AC4AVQBUAGUAeAB0AE0AdQBsACgAZgBhAGMAdABvAHIAaQBhAGwAXwBoAGEAbABmAF8AbgAsACAAZgBhAGMAdABvAHIAaQBhAGwAXwBoAGEAbABmAF8AbgApACwAXABuAFwAbgAgACAAIAAgACAAIAAgACAAIAAgACAAIABhAHAAcABsAGkAYwBhAGIAbABlAF8AdABpAGUAcgBfAHAAcgBpAG0AZQBzACwAIABGAEkATABUAEUAUgAoAGcAbABvAGIAYQBsAF8AcAByAGkAbQBlAHMALAAgAGcAbABvAGIAYQBsAF8AcAByAGkAbQBlAHMAIAA8AD0AIABuACkALABcAG4AIAAgACAAIAAgACAAIAAgACAAIAAgACAAcwB0AHIAXwBzAHcAaQBuAGcAXwB0AGUAcgBtACwAIABjAG8AcgBlAF8AQgBpAGcASQBuAHQALgBTAHcAaQBuAGcAVABlAHIAbQAoAG4ALAAgAGEAcABwAGwAaQBjAGEAYgBsAGUAXwB0AGkAZQByAF8AcAByAGkAbQBlAHMAKQAsAFwAbgBcAG4AIAAgACAAIAAgACAAIAAgACAAIAAgACAAYwBvAHIAZQBfAEIAaQBnAEkAbgB0AC4AVQBUAGUAeAB0AE0AdQBsACgAcwBxAHUAYQByAGUAZABfAGgAYQBsAGYAXwBmAGEAYwB0AG8AcgBpAGEAbAAsACAAcwB0AHIAXwBzAHcAaQBuAGcAXwB0AGUAcgBtACkAXABuACAAIAAgACAAIAAgACAAIAApAFwAbgAgACAAIAAgACkAXABuACkAOwBcAG4AXABuAC8AKgAqAFwAbgAgACoAIABbAEkAbgB0AGUAcgBuAGEAbABdACAAUgBlAHQAdQByAG4AcwAgAE0AaQBuAC8ATQBhAHgAIABmAHIAbwBtACAAYQBuACAAYQByAHIAYQB5ACAAbwBmACAAcwB0AHIAaQBuAGcAcwAgAHUAcwBpAG4AZwAgAGEAIAByAGUAYwB1AHIAcwBpAHYAZQAgAHQAbwB1AHIAbgBhAG0AZQBuAHQAIAB0AHIAZQBlAC4AXABuACAAKgAgAFsAcwB0AHIAXwBuAG8AcgBtAHMAOgAgAEEAcgByAGEAeQAsACAAYwBvAG0AcABhAHIAaQBzAG8AbgBfAG0AbwBkAGUAOgAgAGkAbgB0AF0AXABuACAAKgAvAFwAbgBUAHIAZQBlAEMAbwBtAHAAYQByAGUAIAA9ACAATABBAE0AQgBEAEEAKABzAHQAcgBfAG4AbwByAG0AcwAsACAAYwBvAG0AcABhAHIAaQBzAG8AbgBfAG0AbwBkAGUALABcAG4AIAAgACAAIABMAEUAVAAoAFwAbgAgACAAIAAgACAAIAAgACAAbgB1AG0AXwByAG8AdwBzACwAIABSAE8AVwBTACgAcwB0AHIAXwBuAG8AcgBtAHMAKQAsAFwAbgBcAG4AIAAgACAAIAAgACAAIAAgAEkARgAoAG4AdQBtAF8AcgBvAHcAcwAgAD0AIAAxACwAIABJAE4ARABFAFgAKABzAHQAcgBfAG4AbwByAG0AcwAsACAAMQAsACAAMQApACwAXABuACAAIAAgACAAIAAgACAAIAAgACAAIAAgAEwARQBUACgAXABuACAAIAAgACAAIAAgACAAIAAgACAAIAAgACAAIAAgACAAdABvAHUAcgBuAGEAbQBlAG4AdABfAHAAYQBpAHIAcwAsACAAVwBSAEEAUABSAE8AVwBTACgAcwB0AHIAXwBuAG8AcgBtAHMALAAgADIAKQAsAFwAbgAgACAAIAAgACAAIAAgACAAIAAgACAAIAAgACAAIAAgAGMAbwBtAHAAZQB0AGkAdABvAHIAcwBfAGEALAAgAFQAQQBLAEUAKAB0AG8AdQByAG4AYQBtAGUAbgB0AF8AcABhAGkAcgBzACwAIAAsACAAMQApACwAXABuACAAIAAgACAAIAAgACAAIAAgACAAIAAgACAAIAAgACAAYwBvAG0AcABlAHQAaQB0AG8AcgBzAF8AYgAsACAAVABBAEsARQAoAHQAbwB1AHIAbgBhAG0AZQBuAHQAXwBwAGEAaQByAHMALAAgACwAIAAtADEAKQAsAFwAbgBcAG4AIAAgACAAIAAgACAAIAAgACAAIAAgACAAIAAgACAAIAByAG8AdQBuAGQAXwB3AGkAbgBuAGUAcgBzACwAIABNAEEAUAAoAGMAbwBtAHAAZQB0AGkAdABvAHIAcwBfAGEALAAgAGMAbwBtAHAAZQB0AGkAdABvAHIAcwBfAGIALAAgAEwAQQBNAEIARABBACgAYQAsACAAYgAsAFwAbgAgACAAIAAgACAAIAAgACAAIAAgACAAIAAgACAAIAAgACAAIAAgACAASQBGACgASQBTAE4AQQAoAGIAKQAsACAAYQAsAFwAbgAgACAAIAAgACAAIAAgACAAIAAgACAAIAAgACAAIAAgACAAIAAgACAAIAAgACAAIABMAEUAVAAoAFwAbgAgACAAIAAgACAAIAAgACAAIAAgACAAIAAgACAAIAAgACAAIAAgACAAIAAgACAAIAAgACAAIAAgAGMAbwBtAHAAYQByAGkAcwBvAG4AXwByAGUAcwB1AGwAdAAsACAAQgBpAGcASQBuAHQALgBDAG8AbQBwAGEAcgBlACgAYQAsACAAYgApACwAXABuACAAIAAgACAAIAAgACAAIAAgACAAIAAgACAAIAAgACAAIAAgACAAIAAgACAAIAAgACAAIAAgACAASQBGACgAYwBvAG0AcABhAHIAaQBzAG8AbgBfAHIAZQBzAHUAbAB0ACAAKgAgAGMAbwBtAHAAYQByAGkAcwBvAG4AXwBtAG8AZABlACAAPgA9ACAAMAAsACAAYQAsACAAYgApAFwAbgAgACAAIAAgACAAIAAgACAAIAAgACAAIAAgACAAIAAgACAAIAAgACAAIAAgACAAIAApAFwAbgAgACAAIAAgACAAIAAgACAAIAAgACAAIAAgACAAIAAgACAAIAAgACAAKQBcAG4AIAAgACAAIAAgACAAIAAgACAAIAAgACAAIAAgACAAIAApACkALABcAG4AXABuACAAIAAgACAAIAAgACAAIAAgACAAIAAgACAAIAAgACAAYwBvAHIAZQBfAEIAaQBnAEkAbgB0AC4AVAByAGUAZQBDAG8AbQBwAGEAcgBlACgAcgBvAHUAbgBkAF8AdwBpAG4AbgBlAHIAcwAsACAAYwBvAG0AcABhAHIAaQBzAG8AbgBfAG0AbwBkAGUAKQBcAG4AIAAgACAAIAAgACAAIAAgACAAIAAgACAAKQBcAG4AIAAgACAAIAAgACAAIAAgACkAXABuACAAIAAgACAAKQBcAG4AKQA7ACIAfQAsAHsAIgBwAGEAdABoACIAOgAiAC8AcAByAG8AagBlAGMAdABzAC8AQgBpAGcASQBuAHQAIgAsACIAdABlAHgAdAAiADoAIgAvAC8ALwAvAC8ALwAvAC8ALwAvAC8ALwAvAC8ALwAvAC8ALwAvAC8ALwAvAC8ALwAvAC8ALwAvAC8ALwAvAC8ALwAvAC8ALwBcAG4ALwAvACAAQgBpAGcAIABJAG4AdABlAGcAZQByACAAQQByAGkAdABoAG0AZQB0AGkAYwAgAEwAaQBiAHIAYQByAHkAIAAvAC8AXABuAC8ALwAgACAAIAAgACAAIAAgACAAQgBpAGcASQBuAHQAIABNAG8AZAB1AGwAZQAgACAAIAAgACAAIAAgACAAIAAgACAALwAvAFwAbgAvAC8AIAAgACAAIAAgACAAIAAgACAAIABQAHUAYgBsAGkAYwAgAEEAUABJACAAIAAgACAAIAAgACAAIAAgACAAIAAgAC8ALwBcAG4ALwAvAC8ALwAvAC8ALwAvAC8ALwAvAC8ALwAvAC8ALwAvAC8ALwAvAC8ALwAvAC8ALwAvAC8ALwAvAC8ALwAvAC8ALwAvAC8AXABuAFwAbgAvACoAKgBcAG4AIAAqACAATgBvAHIAbQBhAGwAaQBzAGUAcwAgAGEAIABCAGkAZwBJAG4AdAAgAHMAdAByAGkAbgBnAC4AIABTAHQAcgBpAHAAcwAgAG4AbwBpAHMAZQAsACAAZQB4AHAAYQBuAGQAcwAgAHMAYwBpAGUAbgB0AGkAZgBpAGMAIABuAG8AdABhAHQAaQBvAG4ALAAgAGMAbwBlAHIAYwBlAHMAIABiAG8AbwBsAGUAYQBuAHMALAAgAGEAbgBkACAAZQBuAGYAbwByAGMAZQBzACAAcwB0AHIAaQBjAHQAIABpAG4AdABlAGcAZQByACAAbABvAGcAaQBjAC4AXABuACAAKgAgAFsAaQBuAHAAdQB0ADoAIABWAGEAcgBpAGEAbgB0AF0AXABuACAAKgAvAFwAbgBOAG8AcgBtACAAPQAgAEwAQQBNAEIARABBACgAaQBuAHAAdQB0ACwAXABuACAAIAAgACAASQBGACgATwBSACgASQBTAE8ATQBJAFQAVABFAEQAKABpAG4AcAB1AHQAKQAsACAAaQBuAHAAdQB0ACAAJgAgAFwAIgBcACIAIAA9ACAAXAAiAFwAIgApACwAIABcACIAMABcACIALABcAG4AIAAgACAAIAAgACAAIAAgAEwARQBUACgAXABuACAAIAAgACAAIAAgACAAIAAgACAAIAAgAHQAeQBwAGUAXwBpAGQALAAgAFQAWQBQAEUAKABpAG4AcAB1AHQAKQAsAFwAbgAgACAAIAAgACAAIAAgACAAIAAgACAAIABcAG4AIAAgACAAIAAgACAAIAAgACAAIAAgACAALwAvACAAMQAuACAAVQBwAHMAdAByAGUAYQBtACAARQByAHIAbwByACAAQgB1AGIAYgBsAGkAbgBnAFwAbgAgACAAIAAgACAAIAAgACAAIAAgACAAIABJAEYAKAB0AHkAcABlAF8AaQBkACAAPQAgADEANgAsACAAaQBuAHAAdQB0ACwAXABuACAAIAAgACAAIAAgACAAIAAgACAAIAAgAFwAbgAgACAAIAAgACAAIAAgACAAIAAgACAAIAAvAC8AIAAyAC4AIABCAG8AbwBsAGUAYQBuACAAQwBvAGUAcgBjAGkAbwBuAFwAbgAgACAAIAAgACAAIAAgACAAIAAgACAAIABJAEYAKAB0AHkAcABlAF8AaQBkACAAPQAgADQALAAgAC0ALQBpAG4AcAB1AHQAIAAmACAAXAAiAFwAIgAsAFwAbgAgACAAIAAgACAAIAAgACAAIAAgACAAIABcAG4AIAAgACAAIAAgACAAIAAgACAAIAAgACAATABFAFQAKABcAG4AIAAgACAAIAAgACAAIAAgACAAIAAgACAAIAAgACAAIABzAHQAcgBfAHIAYQB3ACwAIABpAG4AcAB1AHQAIAAmACAAXAAiAFwAIgAsAFwAbgBcAG4AIAAgACAAIAAgACAAIAAgACAAIAAgACAAIAAgACAAIAAvAC8AIAAzAC4AIABSAGEAdwAgAE4AdQBtAGIAZQByACAAUAByAGUAYwBpAHMAaQBvAG4AIABUAHIAYQBwAFwAbgAgACAAIAAgACAAIAAgACAAIAAgACAAIAAgACAAIAAgAEkARgAoAEEATgBEACgAdAB5AHAAZQBfAGkAZAAgAD0AIAAxACwAIAAoAEwARQBOACgAcwB0AHIAXwByAGEAdwApACAALQAgACgATABFAEYAVAAoAHMAdAByAF8AcgBhAHcAKQAgAD0AIABcACIALQBcACIAKQApACAAPgAgADEANQApACwAIAAjAE4AVQBNACEALABcAG4AIAAgACAAIAAgACAAIAAgACAAIAAgACAAIAAgACAAIAAgACAAIAAgAFwAbgAgACAAIAAgACAAIAAgACAAIAAgACAAIAAgACAAIAAgACAAIAAgACAALwAvACAAPQA9AD0APQA9AD0APQA9AD0APQA9AD0APQA9AD0AIABGAEEAUwBUACAAUABBAFQASAAgAD0APQA9AD0APQA9AD0APQA9AD0APQA9AD0APQA9AD0AIAAvAC8AXABuACAAIAAgACAAIAAgACAAIAAgACAAIAAgACAAIAAgACAAIAAgACAAIABJAEYAKABSAEUARwBFAFgAVABFAFMAVAAoAHMAdAByAF8AcgBhAHcALAAgAFwAIgBeAC0APwBcAFwAZAArACQAXAAiACkALABcAG4AIAAgACAAIAAgACAAIAAgACAAIAAgACAAIAAgACAAIAAgACAAIAAgACAAIAAgACAATABFAFQAKABcAG4AIAAgACAAIAAgACAAIAAgACAAIAAgACAAIAAgACAAIAAgACAAIAAgACAAIAAgACAAIAAgACAAIABzAHQAcgBfAG4AbwByAG0ALAAgAFIARQBHAEUAWABSAEUAUABMAEEAQwBFACgAcwB0AHIAXwByAGEAdwAsACAAXAAiAF4AKAAtAD8AKQAwACsAKAA/AD0AXABcAGQAKQBcACIALAAgAFwAIgAkADEAXAAiACkALABcAG4AIAAgACAAIAAgACAAIAAgACAAIAAgACAAIAAgACAAIAAgACAAIAAgACAAIAAgACAAIAAgACAAIABJAEYAKABzAHQAcgBfAG4AbwByAG0AIAA9ACAAXAAiAC0AMABcACIALAAgAFwAIgAwAFwAIgAsACAAcwB0AHIAXwBuAG8AcgBtACkAXABuACAAIAAgACAAIAAgACAAIAAgACAAIAAgACAAIAAgACAAIAAgACAAIAAgACAAIAAgACkALABcAG4AXABuACAAIAAgACAAIAAgACAAIAAgACAAIAAgACAAIAAgACAAIAAgACAAIAAvAC8AIAA9AD0APQA9AD0APQA9AD0APQA9AD0APQA9AD0APQA9ACAAUwBMAE8AVwAgAFAAQQBUAEgAIAA9AD0APQA9AD0APQA9AD0APQA9AD0APQA9AD0APQA9ACAALwAvAFwAbgAgACAAIAAgACAAIAAgACAAIAAgACAAIAAgACAAIAAgACAAIAAgACAATABFAFQAKABcAG4AIAAgACAAIAAgACAAIAAgACAAIAAgACAAIAAgACAAIAAgACAAIAAgACAAIAAgACAALwAvACAANAAuACAATgBvAGkAcwBlACAAUwBhAG4AaQB0AGkAegBhAHQAaQBvAG4AXABuACAAIAAgACAAIAAgACAAIAAgACAAIAAgACAAIAAgACAAIAAgACAAIAAgACAAIAAgAHMAdAByAF8AYwBsAGUAYQBuAF8AMQAsACAAUgBFAEcARQBYAFIARQBQAEwAQQBDAEUAKABzAHQAcgBfAHIAYQB3ACwAIABcACIAWwAsAFwAXABzAF8AXQBcACIALAAgAFwAIgBcACIAKQAsAFwAbgBcAG4AIAAgACAAIAAgACAAIAAgACAAIAAgACAAIAAgACAAIAAgACAAIAAgACAAIAAgACAALwAvACAANQAuACAAQQBjAGMAbwB1AG4AdABpAG4AZwAgAEYAbwByAG0AYQB0ACAAUgBlAHMAbwBsAHUAdABpAG8AbgBcAG4AIAAgACAAIAAgACAAIAAgACAAIAAgACAAIAAgACAAIAAgACAAIAAgACAAIAAgACAAcwB0AHIAXwBjAGwAZQBhAG4AXwAyACwAIABSAEUARwBFAFgAUgBFAFAATABBAEMARQAoAHMAdAByAF8AYwBsAGUAYQBuAF8AMQAsACAAXAAiAF4AXABcACgAKAAuACoAKQBcAFwAKQAkAFwAIgAsACAAXAAiAC0AJAAxAFwAIgApACwAXABuAFwAbgAgACAAIAAgACAAIAAgACAAIAAgACAAIAAgACAAIAAgACAAIAAgACAAIAAgACAAIAAvAC8AIAA2AC4AIABUAGUAeAB0ACAAUwBjAGkAZQBuAHQAaQBmAGkAYwAgAE4AbwB0AGEAdABpAG8AbgAgAEUAeABwAGEAbgBkAGUAcgBcAG4AIAAgACAAIAAgACAAIAAgACAAIAAgACAAIAAgACAAIAAgACAAIAAgACAAIAAgACAAaQBzAF8AcwBjAGkAXwBuAG8AdAAsACAAUgBFAEcARQBYAFQARQBTAFQAKABzAHQAcgBfAGMAbABlAGEAbgBfADIALAAgAFwAIgBeAC0APwBcAFwAZAArACgAXABcAC4AXABcAGQAKwApAD8AWwBFAGUAXQBbACsALQBdAD8AXABcAGQAKwAkAFwAIgApACwAXABuACAAIAAgACAAIAAgACAAIAAgACAAIAAgACAAIAAgACAAIAAgACAAIAAgACAAIAAgAHMAdAByAF8AYwBsAGUAYQBuAF8AMwAsACAASQBGACgATgBPAFQAKABpAHMAXwBzAGMAaQBfAG4AbwB0ACkALAAgAHMAdAByAF8AYwBsAGUAYQBuAF8AMgAsAFwAbgAgACAAIAAgACAAIAAgACAAIAAgACAAIAAgACAAIAAgACAAIAAgACAAIAAgACAAIAAgACAAIAAgAEwARQBUACgAXABuACAAIAAgACAAIAAgACAAIAAgACAAIAAgACAAIAAgACAAIAAgACAAIAAgACAAIAAgACAAIAAgACAAIAAgACAAIABtAGEAbgB0AGkAcwBzAGEALAAgAFIARQBHAEUAWABFAFgAVABSAEEAQwBUACgAcwB0AHIAXwBjAGwAZQBhAG4AXwAyACwAIABcACIAXgAtAD8AXABcAGQAKwAoAFwAXAAuAFwAXABkACsAKQA/AFwAIgApACwAXABuACAAIAAgACAAIAAgACAAIAAgACAAIAAgACAAIAAgACAAIAAgACAAIAAgACAAIAAgACAAIAAgACAAIAAgACAAIABlAHgAcABvAG4AZQBuAHQALAAgAFYAQQBMAFUARQAoAFIARQBHAEUAWABFAFgAVABSAEEAQwBUACgAcwB0AHIAXwBjAGwAZQBhAG4AXwAyACwAIABcACIAWwArAC0AXQA/AFwAXABkACsAJABcACIAKQApACwAXABuACAAIAAgACAAIAAgACAAIAAgACAAIAAgACAAIAAgACAAIAAgACAAIAAgACAAIAAgACAAIAAgACAAIAAgACAAIABkAGUAYwBfAG0AYQB0AGMAaAAsACAASQBGAEUAUgBSAE8AUgAoAFIARQBHAEUAWABFAFgAVABSAEEAQwBUACgAbQBhAG4AdABpAHMAcwBhACwAIABcACIAXABcAC4AXABcAGQAKwAkAFwAIgApACwAIABcACIAXAAiACkALABcAG4AIAAgACAAIAAgACAAIAAgACAAIAAgACAAIAAgACAAIAAgACAAIAAgACAAIAAgACAAIAAgACAAIAAgACAAIAAgAGQAZQBjAF8AcABsAGEAYwBlAHMALAAgAEkARgAoAGQAZQBjAF8AbQBhAHQAYwBoACAAPQAgAFwAIgBcACIALAAgADAALAAgAEwARQBOACgAZABlAGMAXwBtAGEAdABjAGgAKQAgAC0AIAAxACkALABcAG4AXABuACAAIAAgACAAIAAgACAAIAAgACAAIAAgACAAIAAgACAAIAAgACAAIAAgACAAIAAgACAAIAAgACAAIAAgACAAIABJAEYAKABPAFIAKABlAHgAcABvAG4AZQBuAHQAIAA8ACAAMAAsACAAZABlAGMAXwBwAGwAYQBjAGUAcwAgAD4AIABlAHgAcABvAG4AZQBuAHQAKQAsACAAIwBWAEEATABVAEUAIQAsAFwAbgAgACAAIAAgACAAIAAgACAAIAAgACAAIAAgACAAIAAgACAAIAAgACAAIAAgACAAIAAgACAAIAAgACAAIAAgACAAIAAgACAAIABTAFUAQgBTAFQASQBUAFUAVABFACgAbQBhAG4AdABpAHMAcwBhACwAIABcACIALgBcACIALAAgAFwAIgBcACIAKQAgACYAIABSAEUAUABUACgAXAAiADAAXAAiACwAIABlAHgAcABvAG4AZQBuAHQAIAAtACAAZABlAGMAXwBwAGwAYQBjAGUAcwApAFwAbgAgACAAIAAgACAAIAAgACAAIAAgACAAIAAgACAAIAAgACAAIAAgACAAIAAgACAAIAAgACAAIAAgACAAIAAgACAAKQBcAG4AIAAgACAAIAAgACAAIAAgACAAIAAgACAAIAAgACAAIAAgACAAIAAgACAAIAAgACAAIAAgACAAIAApAFwAbgAgACAAIAAgACAAIAAgACAAIAAgACAAIAAgACAAIAAgACAAIAAgACAAIAAgACAAIAApACwAXABuAFwAbgAgACAAIAAgACAAIAAgACAAIAAgACAAIAAgACAAIAAgACAAIAAgACAAIAAgACAAIAAvAC8AIAA3AC4AIABTAGEAZgBlACAARABlAGMAaQBtAGEAbAAgAFQAcgB1AG4AYwBhAHQAaQBvAG4AXABuACAAIAAgACAAIAAgACAAIAAgACAAIAAgACAAIAAgACAAIAAgACAAIAAgACAAIAAgAGgAYQBzAF8AZABlAGMAaQBtAGEAbAAsACAASQBTAE4AVQBNAEIARQBSACgARgBJAE4ARAAoAFwAIgAuAFwAIgAsACAAcwB0AHIAXwBjAGwAZQBhAG4AXwAzACkAKQAsAFwAbgAgACAAIAAgACAAIAAgACAAIAAgACAAIAAgACAAIAAgACAAIAAgACAAIAAgACAAIABzAHQAcgBfAGMAbABlAGEAbgBfADQALAAgAEkARgAoAE4ATwBUACgAaABhAHMAXwBkAGUAYwBpAG0AYQBsACkALAAgAHMAdAByAF8AYwBsAGUAYQBuAF8AMwAsACAAXABuACAAIAAgACAAIAAgACAAIAAgACAAIAAgACAAIAAgACAAIAAgACAAIAAgACAAIAAgACAAIAAgACAATABFAFQAKABcAG4AIAAgACAAIAAgACAAIAAgACAAIAAgACAAIAAgACAAIAAgACAAIAAgACAAIAAgACAAIAAgACAAIAAgACAAIAAgAHMAdAByAGkAcABwAGUAZAAsACAAUgBFAEcARQBYAFIARQBQAEwAQQBDAEUAKABzAHQAcgBfAGMAbABlAGEAbgBfADMALAAgAFwAIgBcAFwALgAwACsAJABcACIALAAgAFwAIgBcACIAKQAsAFwAbgAgACAAIAAgACAAIAAgACAAIAAgACAAIAAgACAAIAAgACAAIAAgACAAIAAgACAAIAAgACAAIAAgACAAIAAgACAASQBGACgASQBTAE4AVQBNAEIARQBSACgARgBJAE4ARAAoAFwAIgAuAFwAIgAsACAAcwB0AHIAaQBwAHAAZQBkACkAKQAsACAAIwBWAEEATABVAEUAIQAsACAAcwB0AHIAaQBwAHAAZQBkACkAXABuACAAIAAgACAAIAAgACAAIAAgACAAIAAgACAAIAAgACAAIAAgACAAIAAgACAAIAAgACAAIAAgACAAKQBcAG4AIAAgACAAIAAgACAAIAAgACAAIAAgACAAIAAgACAAIAAgACAAIAAgACAAIAAgACAAKQAsAFwAbgAgACAAIAAgACAAIAAgACAAIAAgACAAIAAgACAAIAAgACAAIAAgACAAIAAgACAAIABcAG4AIAAgACAAIAAgACAAIAAgACAAIAAgACAAIAAgACAAIAAgACAAIAAgACAAIAAgACAALwAvACAAOAAuACAARgBpAG4AYQBsACAAUwB0AHIAaQBjAHQAIABJAG4AdABlAGcAZQByACAAVgBhAGwAaQBkAGEAdABpAG8AbgBcAG4AIAAgACAAIAAgACAAIAAgACAAIAAgACAAIAAgACAAIAAgACAAIAAgACAAIAAgACAAaQBzAF8AdgBhAGwAaQBkACwAIABSAEUARwBFAFgAVABFAFMAVAAoAHMAdAByAF8AYwBsAGUAYQBuAF8ANAAsACAAXAAiAF4ALQA/AFwAXABkACsAJABcACIAKQAsAFwAbgAgACAAIAAgACAAIAAgACAAIAAgACAAIAAgACAAIAAgACAAIAAgACAAIAAgACAAIABJAEYAKABOAE8AVAAoAGkAcwBfAHYAYQBsAGkAZAApACwAIAAjAFYAQQBMAFUARQAhACwAXABuAFwAbgAgACAAIAAgACAAIAAgACAAIAAgACAAIAAgACAAIAAgACAAIAAgACAAIAAgACAAIAAgACAAIAAgAC8ALwAgADkALgAgAEMAYQBuAG8AbgBpAGMAYQBsACAAUwB0AGEAdABlAFwAbgAgACAAIAAgACAAIAAgACAAIAAgACAAIAAgACAAIAAgACAAIAAgACAAIAAgACAAIAAgACAAIAAgAEwARQBUACgAXABuACAAIAAgACAAIAAgACAAIAAgACAAIAAgACAAIAAgACAAIAAgACAAIAAgACAAIAAgACAAIAAgACAAIAAgACAAIABzAHQAcgBfAG4AbwByAG0ALAAgAFIARQBHAEUAWABSAEUAUABMAEEAQwBFACgAcwB0AHIAXwBjAGwAZQBhAG4AXwA0ACwAIABcACIAXgAoAC0APwApADAAKwAoAD8APQBcAFwAZAApAFwAIgAsACAAXAAiACQAMQBcACIAKQAsAFwAbgAgACAAIAAgACAAIAAgACAAIAAgACAAIAAgACAAIAAgACAAIAAgACAAIAAgACAAIAAgACAAIAAgACAAIAAgACAASQBGACgAcwB0AHIAXwBuAG8AcgBtACAAPQAgAFwAIgAtADAAXAAiACwAIABcACIAMABcACIALAAgAHMAdAByAF8AbgBvAHIAbQApAFwAbgAgACAAIAAgACAAIAAgACAAIAAgACAAIAAgACAAIAAgACAAIAAgACAAIAAgACAAIAAgACAAIAAgACkAXABuACAAIAAgACAAIAAgACAAIAAgACAAIAAgACAAIAAgACAAIAAgACAAIAAgACAAIAAgACkAXABuACAAIAAgACAAIAAgACAAIAAgACAAIAAgACAAIAAgACAAIAAgACAAIAApACkAXABuACAAIAAgACAAIAAgACAAIAAgACAAIAAgACAAIAAgACAAKQBcAG4AIAAgACAAIAAgACAAIAAgACAAIAAgACAAKQApACkAXABuACAAIAAgACAAIAAgACAAIAApAFwAbgAgACAAIAAgACkAXABuACkAOwBcAG4AXABuAC8AKgAqAFwAbgAgACoAIABSAGUAdAB1AHIAbgBzACAAdABoAGUAIABzAGkAZwBuACAAbwBmACAAYQAgAEIAaQBnAEkAbgB0ADoAIAAxACAAKABwAG8AcwBpAHQAaQB2AGUAKQAsACAALQAxACAAKABuAGUAZwBhAHQAaQB2AGUAKQAsACAAbwByACAAMAAgACgAegBlAHIAbwApAC4AXABuACAAKgAgAFsAaQBuAHAAdQB0ADoAIABUAGUAeAB0AF0AXABuACAAKgAvAFwAbgBTAGkAZwBuACAAPQAgAEwAQQBNAEIARABBACgAaQBuAHAAdQB0ACwAXABuACAAIAAgACAATABFAFQAKABcAG4AIAAgACAAIAAgACAAIAAgAHMAdAByAF8AbgBvAHIAbQAsACAATgBvAHIAbQAoAGkAbgBwAHUAdAApACwAXABuACAAIAAgACAAIAAgACAAIABTAFcASQBUAEMASAAoAEwARQBGAFQAKABzAHQAcgBfAG4AbwByAG0AKQAsAFwAbgAgACAAIAAgACAAIAAgACAAIAAgACAAIABcACIAMABcACIALAAgADAALABcAG4AIAAgACAAIAAgACAAIAAgACAAIAAgACAAXAAiAC0AXAAiACwAIAAtADEALABcAG4AIAAgACAAIAAgACAAIAAgACAAIAAgACAAMQBcAG4AIAAgACAAIAAgACAAIAAgACkAXABuACAAIAAgACAAKQBcAG4AKQA7AFwAbgBcAG4ALwAvACAALQAtAC0AIABQAHIAZQBkAGkAYwBhAHQAZQBzACAALQAtAC0AIABcAFwAXABcAFwAbgBcAG4ALwAqACoAXABuACAAKgAgAFIAZQB0AHUAcgBuAHMAIABUAFIAVQBFACAAaQBmACAAdABoAGUAIABCAGkAZwBJAG4AdAAgAGkAcwAgAGUAeABhAGMAdABsAHkAIAB6AGUAcgBvAC4AXABuACAAKgAgAFsAaQBuAHAAdQB0ADoAIABUAGUAeAB0AF0AXABuACAAKgAvAFwAbgBJAHMAWgBlAHIAbwAgAD0AIABMAEEATQBCAEQAQQAoAGkAbgBwAHUAdAAsACAATgBvAHIAbQAoAGkAbgBwAHUAdAApACAAPQAgAFwAIgAwAFwAIgApADsAXABuAFwAbgAvACoAKgBcAG4AIAAqACAAUgBlAHQAdQByAG4AcwAgAFQAUgBVAEUAIABpAGYAIAB0AGgAZQAgAEIAaQBnAEkAbgB0ACAAaQBzACAAbgBlAGcAYQB0AGkAdgBlAC4AXABuACAAKgAgAFsAaQBuAHAAdQB0ADoAIABUAGUAeAB0AF0AXABuACAAKgAvAFwAbgBJAHMATgBlAGcAIAA9ACAATABBAE0AQgBEAEEAKABpAG4AcAB1AHQALAAgAEwARQBGAFQAKABOAG8AcgBtACgAaQBuAHAAdQB0ACkAKQAgAD0AIABcACIALQBcACIAKQA7AFwAbgBcAG4ALwAqACoAXABuACAAKgAgAFIAZQB0AHUAcgBuAHMAIABUAFIAVQBFACAAaQBmACAAdABoAGUAIABCAGkAZwBJAG4AdAAgAGkAcwAgAGUAdgBlAG4ALgBcAG4AIAAqACAAWwBpAG4AcAB1AHQAOgAgAFQAZQB4AHQAXQBcAG4AIAAqAC8AXABuAEkAcwBFAHYAZQBuACAAPQAgAEwAQQBNAEIARABBACgAaQBuAHAAdQB0ACwAIABJAFMARQBWAEUATgAoAFYAQQBMAFUARQAoAFIASQBHAEgAVAAoAE4AbwByAG0AKABpAG4AcAB1AHQAKQApACkAKQApADsAXABuAFwAbgAvACoAKgBcAG4AIAAqACAAUgBlAHQAdQByAG4AcwAgAFQAUgBVAEUAIABpAGYAIAB0AGgAZQAgAEIAaQBnAEkAbgB0ACAAaQBzACAAbwBkAGQALgBcAG4AIAAqACAAWwBpAG4AcAB1AHQAOgAgAFQAZQB4AHQAXQBcAG4AIAAqAC8AXABuAEkAcwBPAGQAZAAgAD0AIABMAEEATQBCAEQAQQAoAGkAbgBwAHUAdAAsACAASQBTAE8ARABEACgAVgBBAEwAVQBFACgAUgBJAEcASABUACgATgBvAHIAbQAoAGkAbgBwAHUAdAApACkAKQApACkAOwBcAG4AXABuAC8AKgAqAFwAbgAgACoAIABSAGUAdAB1AHIAbgBzACAAdABoAGUAIAB1AG4AcwBpAGcAbgBlAGQAIABtAGEAZwBuAGkAdAB1AGQAZQAgAG8AZgAgAGEAIABCAGkAZwBJAG4AdAAgAHMAdAByAGkAbgBnACAAKABhAGIAcwBvAGwAdQB0AGUAIAB2AGEAbAB1AGUAKQAuAFwAbgAgACoAIABbAGkAbgBwAHUAdAA6ACAAVABlAHgAdABdAFwAbgAgACoALwBcAG4AQQBiAHMAIAA9ACAATABBAE0AQgBEAEEAKABpAG4AcAB1AHQALABcAG4AIAAgACAAIABMAEUAVAAoAFwAbgAgACAAIAAgACAAIAAgACAAcwB0AHIAXwBuAG8AcgBtACwAIABOAG8AcgBtACgAaQBuAHAAdQB0ACkALABcAG4AIAAgACAAIAAgACAAIAAgAEkARgAoAEwARQBGAFQAKABzAHQAcgBfAG4AbwByAG0AKQAgAD0AIABcACIALQBcACIALAAgAE0ASQBEACgAcwB0AHIAXwBuAG8AcgBtACwAIAAyACwAIABMAEUATgAoAHMAdAByAF8AbgBvAHIAbQApACAALQAgADEAKQAsACAAcwB0AHIAXwBuAG8AcgBtACkAXABuACAAIAAgACAAKQBcAG4AKQA7AFwAbgBcAG4ALwAqACoAXABuACAAKgAgAFIAZQB0AHUAcgBuAHMAIAAxACAAKABhACAAPgAgAGIAKQAsACAALQAxACAAKABhACAAPAAgAGIAKQAsACAAbwByACAAMAAgACgAYQAgAD0AIABiACkALgAgAEMAbwBtAHAAYQByAGUAcwAgAHMAaQBnAG4AcwAgAGEAbgBkACAAbABlAG4AZwB0AGgAcwAgAGIAZQBmAG8AcgBlACAAbABpAG0AYgAgAGEAbgBhAGwAeQBzAGkAcwAuAFwAbgAgACoAIABbAGkAbgBwAHUAdABfAGEAOgAgAFQAZQB4AHQALAAgAGkAbgBwAHUAdABfAGIAOgAgAFQAZQB4AHQAXQBcAG4AIAAqAC8AXABuAEMAbwBtAHAAYQByAGUAIAA9ACAATABBAE0AQgBEAEEAKABpAG4AcAB1AHQAXwBhACwAIABpAG4AcAB1AHQAXwBiACwAXABuACAAIAAgACAATABFAFQAKABcAG4AIAAgACAAIAAgACAAIAAgAHMAdAByAF8AbgBvAHIAbQBfAGEALAAgAE4AbwByAG0AKABpAG4AcAB1AHQAXwBhACkALABcAG4AIAAgACAAIAAgACAAIAAgAHMAdAByAF8AbgBvAHIAbQBfAGIALAAgAE4AbwByAG0AKABpAG4AcAB1AHQAXwBiACkALABcAG4AIAAgACAAIAAgACAAIAAgAHMAaQBnAG4AXwBhACwAIABCAGkAZwBJAG4AdAAuAFMAaQBnAG4AKABzAHQAcgBfAG4AbwByAG0AXwBhACkALABcAG4AIAAgACAAIAAgACAAIAAgAHMAaQBnAG4AXwBiACwAIABCAGkAZwBpAG4AdAAuAFMAaQBnAG4AKABzAHQAcgBfAG4AbwByAG0AXwBiACkALABcAG4AXABuACAAIAAgACAAIAAgACAAIABJAEYAKABzAGkAZwBuAF8AYQAgADwAPgAgAHMAaQBnAG4AXwBiACwAXABuACAAIAAgACAAIAAgACAAIAAgACAAIAAgAFMASQBHAE4AKABzAGkAZwBuAF8AYQAgAC0AIABzAGkAZwBuAF8AYgApACwAXABuACAAIAAgACAAIAAgACAAIAAgACAAIAAgAEkARgAoAHMAaQBnAG4AXwBhACAAPQAgADAALABcAG4AIAAgACAAIAAgACAAIAAgACAAIAAgACAAIAAgACAAIAAwACwAXABuACAAIAAgACAAIAAgACAAIAAgACAAIAAgACAAIAAgACAATABFAFQAKABcAG4AIAAgACAAIAAgACAAIAAgACAAIAAgACAAIAAgACAAIAAgACAAIAAgAGwAZQBuAF8AYQAsACAATABFAE4AKABzAHQAcgBfAG4AbwByAG0AXwBhACkALABcAG4AIAAgACAAIAAgACAAIAAgACAAIAAgACAAIAAgACAAIAAgACAAIAAgAGwAZQBuAF8AYgAsACAATABFAE4AKABzAHQAcgBfAG4AbwByAG0AXwBiACkALABcAG4AXABuACAAIAAgACAAIAAgACAAIAAgACAAIAAgACAAIAAgACAAIAAgACAAIABJAEYAKABsAGUAbgBfAGEAIAA8AD4AIABsAGUAbgBfAGIALABcAG4AIAAgACAAIAAgACAAIAAgACAAIAAgACAAIAAgACAAIAAgACAAIAAgACAAIAAgACAAUwBJAEcATgAoAGwAZQBuAF8AYQAgAC0AIABsAGUAbgBfAGIAKQAgACoAIABzAGkAZwBuAF8AYQAsAFwAbgAgACAAIAAgACAAIAAgACAAIAAgACAAIAAgACAAIAAgACAAIAAgACAAIAAgACAAIABMAEUAVAAoAFwAbgAgACAAIAAgACAAIAAgACAAIAAgACAAIAAgACAAIAAgACAAIAAgACAAIAAgACAAIAAgACAAIAAgAC8ALwAgAFwAIgBBAEQARABcACIAIABjAG8AbgB0AGUAeAB0ACAAbQBhAHgAaQBtAGkAegBlAHMAIABsAGkAbQBiACAAcwBpAHoAZQAgAHcAaABpAGwAZQAgAHAAcgBlAHYAZQBuAHQAaQBuAGcAIABvAHYAZQByAGYAbABvAHcALgBcAG4AIAAgACAAIAAgACAAIAAgACAAIAAgACAAIAAgACAAIAAgACAAIAAgACAAIAAgACAAIAAgACAAIABrACwAIABjAG8AcgBlAF8AQgBpAGcASQBuAHQALgBTAGEAZgBlAEsAKABcACIAQQBEAEQAXAAiACkALABcAG4AIAAgACAAIAAgACAAIAAgACAAIAAgACAAIAAgACAAIAAgACAAIAAgACAAIAAgACAAIAAgACAAIABsAGkAbQBiAHMAXwBhACwAIABjAG8AcgBlAF8AQgBpAGcASQBuAHQALgBTAHAAbABpAHQAKABCAGkAZwBJAG4AdAAuAEEAYgBzACgAcwB0AHIAXwBuAG8AcgBtAF8AYQApACwAIABrACkALABcAG4AIAAgACAAIAAgACAAIAAgACAAIAAgACAAIAAgACAAIAAgACAAIAAgACAAIAAgACAAIAAgACAAIABsAGkAbQBiAHMAXwBiACwAIABjAG8AcgBlAF8AQgBpAGcASQBuAHQALgBTAHAAbABpAHQAKABCAGkAZwBJAG4AdAAuAEEAYgBzACgAcwB0AHIAXwBuAG8AcgBtAF8AYgApACwAIABrACkALABcAG4AIAAgACAAIAAgACAAIAAgACAAIAAgACAAIAAgACAAIAAgACAAIAAgACAAIAAgACAAIAAgACAAIABtAGEAZwBuAGkAdAB1AGQAZQBfAGMAbwBtAHAAYQByAGkAcwBvAG4ALAAgAGMAbwByAGUAXwBCAGkAZwBJAG4AdAAuAFUAQwBvAG0AcABhAHIAZQAoAGwAaQBtAGIAcwBfAGEALAAgAGwAaQBtAGIAcwBfAGIAKQAsAFwAbgBcAG4AIAAgACAAIAAgACAAIAAgACAAIAAgACAAIAAgACAAIAAgACAAIAAgACAAIAAgACAAIAAgACAAIABtAGEAZwBuAGkAdAB1AGQAZQBfAGMAbwBtAHAAYQByAGkAcwBvAG4AIAAqACAAcwBpAGcAbgBfAGEAXABuACAAIAAgACAAIAAgACAAIAAgACAAIAAgACAAIAAgACAAIAAgACAAIAAgACAAIAAgACkAXABuACAAIAAgACAAIAAgACAAIAAgACAAIAAgACAAIAAgACAAIAAgACAAIAApAFwAbgAgACAAIAAgACAAIAAgACAAIAAgACAAIAAgACAAIAAgACkAXABuACAAIAAgACAAIAAgACAAIAAgACAAIAAgACkAXABuACAAIAAgACAAIAAgACAAIAApAFwAbgAgACAAIAAgACkAXABuACkAOwBcAG4AXABuAC8ALwAgACAAIAAgACAAIAAgACAAIAAgAC0AIABBAGQAZABpAHQAaQBvAG4AIAAmACAAUwB1AGIAdAByAGEAYwB0AGkAbwBuACAALQAgACAAIAAgACAAIAAgAFwAXABcAFwAXABuAFwAbgAvACoAKgBcAG4AIAAqACAAUgBlAHQAdQByAG4AcwAgAHQAaABlACAAcwB1AG0AIABvAGYAIAB0AHcAbwAgAEIAaQBnAEkAbgB0ACAAcwB0AHIAaQBuAGcAcwAuAFwAbgAgACoAIABbAGkAbgBwAHUAdABfAGEAOgAgAFQAZQB4AHQALAAgAGkAbgBwAHUAdABfAGIAOgAgAFQAZQB4AHQAXQBcAG4AIAAqAC8AXABuAEEAZABkACAAPQAgAEwAQQBNAEIARABBACgAaQBuAHAAdQB0AF8AYQAsACAAaQBuAHAAdQB0AF8AYgAsAFwAbgAgACAAIAAgAEwARQBUACgAXABuACAAIAAgACAAIAAgACAAIABzAHQAcgBfAG4AbwByAG0AXwBhACwAIABOAG8AcgBtACgAaQBuAHAAdQB0AF8AYQApACwAXABuACAAIAAgACAAIAAgACAAIABzAHQAcgBfAG4AbwByAG0AXwBiACwAIABOAG8AcgBtACgAaQBuAHAAdQB0AF8AYgApACwAXABuACAAIAAgACAAIAAgACAAIABzAGkAZwBuAF8AYQAsACAAQgBpAGcAaQBuAHQALgBTAGkAZwBuACgAcwB0AHIAXwBuAG8AcgBtAF8AYQApACwAXABuACAAIAAgACAAIAAgACAAIABzAGkAZwBuAF8AYgAsACAAQgBpAGcASQBuAHQALgBTAGkAZwBuACgAcwB0AHIAXwBuAG8AcgBtAF8AYgApACwAXABuAFwAbgAgACAAIAAgACAAIAAgACAAawAsACAAYwBvAHIAZQBfAEIAaQBnAEkAbgB0AC4AUwBhAGYAZQBLACgAXAAiAEEARABEAFwAIgApACwAXABuACAAIAAgACAAIAAgACAAIABsAGkAbQBiAHMAXwBhACwAIABjAG8AcgBlAF8AQgBpAGcASQBuAHQALgBTAHAAbABpAHQAKABCAGkAZwBJAG4AdAAuAEEAYgBzACgAcwB0AHIAXwBuAG8AcgBtAF8AYQApACwAIABrACkALABcAG4AIAAgACAAIAAgACAAIAAgAGwAaQBtAGIAcwBfAGIALAAgAGMAbwByAGUAXwBCAGkAZwBJAG4AdAAuAFMAcABsAGkAdAAoAEIAaQBnAEkAbgB0AC4AQQBiAHMAKABzAHQAcgBfAG4AbwByAG0AXwBiACkALAAgAGsAKQAsAFwAbgBcAG4AIAAgACAAIAAgACAAIAAgAC8ALwAgAEEAZABkAFMAdQBiAFIAbwB1AHQAZQByACAAcgBlAHMAbwBsAHYAZQBzACAAcwBpAGcAbgAgAGwAbwBnAGkAYwAgAGEAbgBkACAAcgBlAHQAdQByAG4AcwAgAGEAIABwAGEAYwBrAGUAZAAgAGEAcgByAGEAeQAgAFsAbABpAG0AYgBzADsAIABzAGkAZwBuAF0AXABuACAAIAAgACAAIAAgACAAIABwAGEAYwBrAGUAZABfAHIAZQBzAHUAbAB0ACwAIABjAG8AcgBlAF8AQgBpAGcASQBuAHQALgBBAGQAZABTAHUAYgBSAG8AdQB0AGUAcgAoAGwAaQBtAGIAcwBfAGEALAAgAGwAaQBtAGIAcwBfAGIALAAgAHMAaQBnAG4AXwBhACwAIABzAGkAZwBuAF8AYgAsACAAawApACwAXABuACAAIAAgACAAIAAgACAAIABmAGkAbgBhAGwAXwBzAGkAZwBuACwAIABDAEgATwBPAFMARQBSAE8AVwBTACgAcABhAGMAawBlAGQAXwByAGUAcwB1AGwAdAAsACAALQAxACkALABcAG4AIAAgACAAIAAgACAAIAAgAGYAaQBuAGEAbABfAGwAaQBtAGIAcwAsACAARABSAE8AUAAoAHAAYQBjAGsAZQBkAF8AcgBlAHMAdQBsAHQALAAgAC0AMQApACwAXABuAFwAbgAgACAAIAAgACAAIAAgACAAcwB0AHIAXwBtAGUAcgBnAGUAZAAsACAAYwBvAHIAZQBfAEIAaQBnAEkAbgB0AC4ATQBlAHIAZwBlACgAZgBpAG4AYQBsAF8AbABpAG0AYgBzACwAIABrACkALABcAG4AXABuACAAIAAgACAAIAAgACAAIABJAEYAKABmAGkAbgBhAGwAXwBzAGkAZwBuACAAPQAgAC0AMQAsACAAXAAiAC0AXAAiACAAJgAgAHMAdAByAF8AbQBlAHIAZwBlAGQALAAgAHMAdAByAF8AbQBlAHIAZwBlAGQAKQBcAG4AIAAgACAAIAApAFwAbgApADsAXABuAFwAbgAvACoAKgBcAG4AIAAqACAAUgBlAHQAdQByAG4AcwAgAHQAaABlACAAZABpAGYAZgBlAHIAZQBuAGMAZQAgAG8AZgAgAHQAdwBvACAAQgBpAGcASQBuAHQAIABzAHQAcgBpAG4AZwBzACAAKABBACAALQAgAEIAKQAuAFwAbgAgACoAIABbAGkAbgBwAHUAdABfAGEAOgAgAFQAZQB4AHQALAAgAGkAbgBwAHUAdABfAGIAOgAgAFQAZQB4AHQAXQBcAG4AIAAqAC8AXABuAFMAdQBiACAAPQAgAEwAQQBNAEIARABBACgAaQBuAHAAdQB0AF8AYQAsACAAaQBuAHAAdQB0AF8AYgAsAFwAbgAgACAAIAAgAEwARQBUACgAXABuACAAIAAgACAAIAAgACAAIABzAHQAcgBfAG4AbwByAG0AXwBiACwAIABOAG8AcgBtACgAaQBuAHAAdQB0AF8AYgApACwAXABuAFwAbgAgACAAIAAgACAAIAAgACAALwAvACAAQQBkAGQAaQB0AGkAbwBuACAAbwByAGMAaABlAHMAdAByAGEAdABlAHMAOwAgAHMAdQBiAHQAcgBhAGMAdABpAG8AbgAgAGoAdQBzAHQAIABpAG4AdgBlAHIAdABzACAAdABoAGUAIABzAHUAYgB0AHIAYQBoAGUAbgBkACAAZgBvAHIAIABhAGQAZABpAHQAaQBvAG4ALgBcAG4AIAAgACAAIAAgACAAIAAgAHMAdAByAF8AaQBuAHYAZQByAHMAZQBfAGIALAAgAEkARgAoAHMAdAByAF8AbgBvAHIAbQBfAGIAIAA9ACAAXAAiADAAXAAiACwAIABcACIAMABcACIALABcAG4AIAAgACAAIAAgACAAIAAgACAAIAAgACAASQBGACgATABFAEYAVAAoAHMAdAByAF8AbgBvAHIAbQBfAGIAKQAgAD0AIABcACIALQBcACIALABcAG4AIAAgACAAIAAgACAAIAAgACAAIAAgACAAIAAgACAAIABNAEkARAAoAHMAdAByAF8AbgBvAHIAbQBfAGIALAAgADIALAAgAEwARQBOACgAcwB0AHIAXwBuAG8AcgBtAF8AYgApACkALABcAG4AIAAgACAAIAAgACAAIAAgACAAIAAgACAAIAAgACAAIABcACIALQBcACIAIAAmACAAcwB0AHIAXwBuAG8AcgBtAF8AYgBcAG4AIAAgACAAIAAgACAAIAAgACAAIAAgACAAKQBcAG4AIAAgACAAIAAgACAAIAAgACkALABcAG4AXABuACAAIAAgACAAIAAgACAAIABBAGQAZAAoAGkAbgBwAHUAdABfAGEALAAgAHMAdAByAF8AaQBuAHYAZQByAHMAZQBfAGIAKQBcAG4AIAAgACAAIAApAFwAbgApADsAXABuAFwAbgAvACoAKgBcAG4AIAAqACAAUwB1AG0AcwAgAGEAIAByAGEAbgBnAGUAIABvAHIAIABhAHIAcgBhAHkAIABvAGYAIABCAGkAZwBJAG4AdAAgAHMAdAByAGkAbgBnAHMALgBcAG4AIAAqACAAWwBpAG4AcAB1AHQAXwByAGEAbgBnAGUAOgAgAFIAYQBuAGcAZQAvAEEAcgByAGEAeQBdAFwAbgAgACoALwBcAG4AUwB1AG0AIAA9ACAATABBAE0AQgBEAEEAKABpAG4AcAB1AHQAXwByAGEAbgBnAGUALABcAG4AIAAgACAAIABMAEUAVAAoAFwAbgAgACAAIAAgACAAIAAgACAALwAvACAAVABPAFIATwBXACAAZQBuAHMAdQByAGUAcwAgAGkAbgBwAHUAdAAgAGkAcwAgAGgAbwByAGkAegBvAG4AdABhAGwAIABmAG8AcgAgAHQAaABlACAAcwB1AGIAcwBlAHEAdQBlAG4AdAAgAFMAcABsAGkAdAAgAGIAcgBvAGEAZABjAGEAcwB0AC4AXABuACAAIAAgACAAIAAgACAAIABmAGwAYQB0AHQAZQBuAGUAZABfAGkAbgBwAHUAdAAsACAAVABPAFIATwBXACgAaQBuAHAAdQB0AF8AcgBhAG4AZwBlACwAIAAxACkALABcAG4AXABuACAAIAAgACAAIAAgACAAIABJAEYAKABPAFIAKABJAFMARQBSAFIATwBSACgAZgBsAGEAdAB0AGUAbgBlAGQAXwBpAG4AcAB1AHQAKQAsACAAQwBPAEwAVQBNAE4AUwAoAGYAbABhAHQAdABlAG4AZQBkAF8AaQBuAHAAdQB0ACkAIAA9ACAAMAApACwAIABcACIAMABcACIALABcAG4AIAAgACAAIAAgACAAIAAgACAAIAAgACAATABFAFQAKABcAG4AIAAgACAAIAAgACAAIAAgACAAIAAgACAAIAAgACAAIABzAHQAcgBfAG4AbwByAG0AcwAsACAATQBBAFAAKABmAGwAYQB0AHQAZQBuAGUAZABfAGkAbgBwAHUAdAAsACAATABBAE0AQgBEAEEAKAB4ACwAIABOAG8AcgBtACgAeAApACkAKQAsAFwAbgAgACAAIAAgACAAIAAgACAAIAAgACAAIAAgACAAIAAgAGEAcgByAF8AcwBpAGcAbgBzACwAIABNAEEAUAAoAEwARQBGAFQAKABzAHQAcgBfAG4AbwByAG0AcwApACwAIABMAEEATQBCAEQAQQAoAHgALAAgAEkARgAoAHgAIAA9ACAAXAAiADAAXAAiACwAIAAwACwAIABpAGYAKAB4ACAAPQAgAFwAIgAtAFwAIgAsACAALQAxACwAIAAxACkAKQApACkALABcAG4AIAAgACAAIAAgACAAIAAgACAAIAAgACAAIAAgACAAIABzAHQAcgBfAGEAYgBzACwAIABNAEEAUAAoAHMAdAByAF8AbgBvAHIAbQBzACwAIABhAHIAcgBfAHMAaQBnAG4AcwAsACAATABBAE0AQgBEAEEAKAB4ACwAIABzAGkAZwBuACwAIABJAEYAKABzAGkAZwBuACAAPQAgAC0AMQAsACAATQBJAEQAKAB4ACwAIAAyACwAIABMAEUATgAoAHgAKQAtADEAKQAsACAAeAApACkAKQAsAFwAbgBcAG4AIAAgACAAIAAgACAAIAAgACAAIAAgACAAIAAgACAAIABzAHQAcgBfAHAAbwBzACwAIABGAEkATABUAEUAUgAoAHMAdAByAF8AYQBiAHMALAAgAGEAcgByAF8AcwBpAGcAbgBzACAAPQAgADEALAAgAHsAXAAiADAAXAAiAH0AKQAsAFwAbgAgACAAIAAgACAAIAAgACAAIAAgACAAIAAgACAAIAAgAHMAdAByAF8AbgBlAGcAcwAsACAARgBJAEwAVABFAFIAKABzAHQAcgBfAGEAYgBzACwAIABhAHIAcgBfAHMAaQBnAG4AcwAgAD0AIAAtADEALAAgAHsAXAAiADAAXAAiAH0AKQAsAFwAbgBcAG4AIAAgACAAIAAgACAAIAAgACAAIAAgACAAIAAgACAAIAB1AG4AaQBmAGkAZQBkAF8AawAsACAAYwBvAHIAZQBfAEIAaQBnAEkAbgB0AC4AUwBhAGYAZQBLACgAXAAiAEEARABEAFwAIgAsACAAQwBPAEwAVQBNAE4AUwAoAGYAbABhAHQAdABlAG4AZQBkAF8AaQBuAHAAdQB0ACkAKQAsAFwAbgBcAG4AIAAgACAAIAAgACAAIAAgACAAIAAgACAAIAAgACAAIABsAGkAbQBiAHMAXwBwAG8AcwBfAHMAdQBtACwAIABjAG8AcgBlAF8AQgBpAGcASQBuAHQALgBVAE0AYQB0AHIAaQB4AFMAdQBtACgAcwB0AHIAXwBwAG8AcwAsACAAdQBuAGkAZgBpAGUAZABfAGsAKQAsAFwAbgAgACAAIAAgACAAIAAgACAAIAAgACAAIAAgACAAIAAgAGwAaQBtAGIAcwBfAG4AZQBnAF8AcwB1AG0ALAAgAGMAbwByAGUAXwBCAGkAZwBJAG4AdAAuAFUATQBhAHQAcgBpAHgAUwB1AG0AKABzAHQAcgBfAG4AZQBnAHMALAAgAHUAbgBpAGYAaQBlAGQAXwBrACkALABcAG4AXABuACAAIAAgACAAIAAgACAAIAAgACAAIAAgACAAIAAgACAAcABhAGMAawBlAGQAXwByAGUAcwB1AGwAdAAsACAAYwBvAHIAZQBfAEIAaQBnAEkAbgB0AC4AQQBkAGQAUwB1AGIAUgBvAHUAdABlAHIAKABsAGkAbQBiAHMAXwBwAG8AcwBfAHMAdQBtACwAIABsAGkAbQBiAHMAXwBuAGUAZwBfAHMAdQBtACwAIAAxACwAIAAtADEALAAgAHUAbgBpAGYAaQBlAGQAXwBrACkALABcAG4AIAAgACAAIAAgACAAIAAgACAAIAAgACAAIAAgACAAIABmAGkAbgBhAGwAXwBzAGkAZwBuACwAIABDAEgATwBPAFMARQBSAE8AVwBTACgAcABhAGMAawBlAGQAXwByAGUAcwB1AGwAdAAsACAALQAxACkALABcAG4AIAAgACAAIAAgACAAIAAgACAAIAAgACAAIAAgACAAIABmAGkAbgBhAGwAXwBsAGkAbQBiAHMALAAgAEQAUgBPAFAAKABwAGEAYwBrAGUAZABfAHIAZQBzAHUAbAB0ACwAIAAtADEAKQAsAFwAbgBcAG4AIAAgACAAIAAgACAAIAAgACAAIAAgACAAIAAgACAAIABzAHQAcgBfAG0AZQByAGcAZQBkACwAIABjAG8AcgBlAF8AQgBpAGcASQBuAHQALgBNAGUAcgBnAGUAKABmAGkAbgBhAGwAXwBsAGkAbQBiAHMALAAgAHUAbgBpAGYAaQBlAGQAXwBrACkALABcAG4AXABuACAAIAAgACAAIAAgACAAIAAgACAAIAAgACAAIAAgACAASQBGACgAZgBpAG4AYQBsAF8AcwBpAGcAbgAgAD0AIAAtADEALAAgAFwAIgAtAFwAIgAgACYAIABzAHQAcgBfAG0AZQByAGcAZQBkACwAIABzAHQAcgBfAG0AZQByAGcAZQBkACkAXABuACAAIAAgACAAIAAgACAAIAAgACAAIAAgACkAXABuACAAIAAgACAAIAAgACAAIAApAFwAbgAgACAAIAAgACkAXABuACkAOwBcAG4AXABuAC8AKgAqAFwAbgAgACoAIABSAGUAdAB1AHIAbgBzACAAdABoAGUAIABwAHIAbwBkAHUAYwB0ACAAbwBmACAAdAB3AG8AIABCAGkAZwBJAG4AdAAgAHMAdAByAGkAbgBnAHMALgBcAG4AIAAqACAAWwBpAG4AcAB1AHQAXwBhADoAIABUAGUAeAB0ACwAIABpAG4AcAB1AHQAXwBiADoAIABUAGUAeAB0AF0AXABuACAAKgAvAFwAbgBNAHUAbAAgAD0AIABMAEEATQBCAEQAQQAoAGkAbgBwAHUAdABfAGEALAAgAGkAbgBwAHUAdABfAGIALABcAG4AIAAgACAAIABMAEUAVAAoAFwAbgAgACAAIAAgACAAIAAgACAAcwB0AHIAXwBuAG8AcgBtAF8AYQAsACAATgBvAHIAbQAoAGkAbgBwAHUAdABfAGEAKQAsAFwAbgAgACAAIAAgACAAIAAgACAAcwB0AHIAXwBuAG8AcgBtAF8AYgAsACAATgBvAHIAbQAoAGkAbgBwAHUAdABfAGIAKQAsAFwAbgAgACAAIAAgACAAIAAgACAAcwBpAGcAbgBfAGEALAAgAEIAaQBnAEkAbgB0AC4AUwBpAGcAbgAoAHMAdAByAF8AbgBvAHIAbQBfAGEAKQAsAFwAbgAgACAAIAAgACAAIAAgACAAcwBpAGcAbgBfAGIALAAgAEIAaQBnAEkAbgB0AC4AUwBpAGcAbgAoAHMAdAByAF8AbgBvAHIAbQBfAGIAKQAsAFwAbgAgACAAIAAgACAAIAAgACAAbABlAG4AXwBhACwAIABMAEUATgAoAHMAdAByAF8AbgBvAHIAbQBfAGEAKQAgAC0AIABJAEYAKABzAGkAZwBuAF8AYQAgAD0AIAAtADEALAAgADEALAAgADAAKQAsAFwAbgAgACAAIAAgACAAIAAgACAAbABlAG4AXwBiACwAIABMAEUATgAoAHMAdAByAF8AbgBvAHIAbQBfAGIAKQAgAC0AIABJAEYAKABzAGkAZwBuAF8AYgAgAD0AIAAtADEALAAgADEALAAgADAAKQAsAFwAbgBcAG4AIAAgACAAIAAgACAAIAAgAC8ALwAgAFAAcgBvAGQAdQBjAHQAIABvAGYAIAB3AGkAdABoACAAMAAgAGkAcwAgADAAXABuACAAIAAgACAAIAAgACAAIABJAEYAKABPAFIAKABzAGkAZwBuAF8AYQAgAD0AIAAwACwAIABzAGkAZwBuAF8AYgAgAD0AIAAwACkALAAgAFwAIgAwAFwAIgAsAFwAbgAgACAAIAAgACAAIAAgACAALwAvACAAVAByAGEAcAAgAHMAdAByAGkAbgBnACAAbwB2AGUAcgBmAGwAbwB3AHMAIABiAGUAZgBvAHIAZQAgAGUAbgB0AGUAcgBpAG4AZwAgAHQAaABlACAAYwBvAG4AdgBvAGwAdQB0AGkAbwBuACAAZQBuAGcAaQBuAGUALgBcAG4AIAAgACAAIAAgACAAIAAgAEkARgAoAGwAZQBuAF8AYQAgACsAIABsAGUAbgBfAGIAIAA+ACAAMwAyADcANgA2ACwAIAAjAE4AVQBNACEALABcAG4AIAAgACAAIAAgACAAIAAgACAAIAAgACAATABFAFQAKABcAG4AIAAgACAAIAAgACAAIAAgACAAIAAgACAAIAAgACAAIABrACwAIABjAG8AcgBlAF8AQgBpAGcASQBuAHQALgBTAGEAZgBlAEsAKABcACIATQBVAEwAXAAiACwAIABNAEkATgAoAGwAZQBuAF8AYQAsACAAbABlAG4AXwBiACkAKQAsAFwAbgAgACAAIAAgACAAIAAgACAAIAAgACAAIAAgACAAIAAgAGwAaQBtAGIAcwBfAGEALAAgAGMAbwByAGUAXwBCAGkAZwBJAG4AdAAuAFMAcABsAGkAdAAoAEIAaQBnAEkAbgB0AC4AQQBiAHMAKABzAHQAcgBfAG4AbwByAG0AXwBhACkALAAgAGsAKQAsAFwAbgAgACAAIAAgACAAIAAgACAAIAAgACAAIAAgACAAIAAgAGwAaQBtAGIAcwBfAGIALAAgAGMAbwByAGUAXwBCAGkAZwBJAG4AdAAuAFMAcABsAGkAdAAoAEIAaQBnAEkAbgB0AC4AQQBiAHMAKABzAHQAcgBfAG4AbwByAG0AXwBiACkALAAgAGsAKQAsAFwAbgBcAG4AIAAgACAAIAAgACAAIAAgACAAIAAgACAAIAAgACAAIABmAGkAbgBhAGwAXwBsAGkAbQBiAHMALAAgAGMAbwByAGUAXwBCAGkAZwBJAG4AdAAuAFUATQB1AGwAKABsAGkAbQBiAHMAXwBhACwAIABsAGkAbQBiAHMAXwBiACwAIABrACkALABcAG4AIAAgACAAIAAgACAAIAAgACAAIAAgACAAIAAgACAAIABmAGkAbgBhAGwAXwBzAGkAZwBuACwAIABzAGkAZwBuAF8AYQAgACoAIABzAGkAZwBuAF8AYgAsAFwAbgBcAG4AIAAgACAAIAAgACAAIAAgACAAIAAgACAAIAAgACAAIABzAHQAcgBfAG0AZQByAGcAZQBkACwAIABjAG8AcgBlAF8AQgBpAGcASQBuAHQALgBNAGUAcgBnAGUAKABmAGkAbgBhAGwAXwBsAGkAbQBiAHMALAAgAGsAKQAsAFwAbgBcAG4AIAAgACAAIAAgACAAIAAgACAAIAAgACAAIAAgACAAIABJAEYAKABmAGkAbgBhAGwAXwBzAGkAZwBuACAAPQAgAC0AMQAsACAAXAAiAC0AXAAiACAAJgAgAHMAdAByAF8AbQBlAHIAZwBlAGQALAAgAHMAdAByAF8AbQBlAHIAZwBlAGQAKQBcAG4AIAAgACAAIAAgACAAIAAgACAAIAAgACAAKQBcAG4AIAAgACAAIAAgACAAIAAgACkAKQBcAG4AIAAgACAAIAApAFwAbgApADsAXABuAFwAbgAvACoAKgBcAG4AIAAqACAAWwBWAE8ATABBAFQASQBMAEUAXQAgAEcAZQBuAGUAcgBhAHQAZQBzACAAYQAgAGQAeQBuAGEAbQBpAGMAIABhAHIAcgBhAHkAIABvAGYAIAByAGEAbgBkAG8AbQAgAEIAaQBnAEkAbgB0ACAAcwB0AHIAaQBuAGcAcwAuAFwAbgAgACoAIABbAG4AdQBtAF8AcgBvAHcAcwA6ACAAaQBuAHQALAAgAG4AdQBtAF8AYwBvAGwAcwA6ACAAaQBuAHQALAAgAG0AaQBuAF8AZABpAGcAaQB0AHMAOgAgAGkAbgB0ACwAIABtAGEAeABfAGQAaQBnAGkAdABzADoAIABpAG4AdABdAFwAbgAgACoALwBcAG4AUgBhAG4AZABBAHIAcgBhAHkAIAA9ACAATABBAE0AQgBEAEEAKABbAG4AdQBtAF8AcgBvAHcAcwBdACwAIABbAG4AdQBtAF8AYwBvAGwAcwBdACwAIABbAG0AaQBuAF8AZABpAGcAaQB0AHMAXQAsACAAWwBtAGEAeABfAGQAaQBnAGkAdABzAF0ALABcAG4AIAAgACAAIABMAEUAVAAoAFwAbgAgACAAIAAgACAAIAAgACAAbgBfAHIAbwB3AHMALAAgAEkARgAoAEkAUwBPAE0ASQBUAFQARQBEACgAbgB1AG0AXwByAG8AdwBzACkALAAgADEALAAgAG4AdQBtAF8AcgBvAHcAcwApACwAXABuACAAIAAgACAAIAAgACAAIABuAF8AYwBvAGwAcwAsACAASQBGACgASQBTAE8ATQBJAFQAVABFAEQAKABuAHUAbQBfAGMAbwBsAHMAKQAsACAAMQAsACAAbgB1AG0AXwBjAG8AbABzACkALABcAG4AIAAgACAAIAAgACAAIAAgAG0AaQBuAF8AbABlAG4ALAAgAEkARgAoAEkAUwBPAE0ASQBUAFQARQBEACgAbQBpAG4AXwBkAGkAZwBpAHQAcwApACwAIAAxADYALAAgAE0ASQBOACgAMwAyADcANgA3ACwAIABNAEEAWAAoADEALAAgAG0AaQBuAF8AZABpAGcAaQB0AHMAKQApACkALABcAG4AIAAgACAAIAAgACAAIAAgAG0AYQB4AF8AbABlAG4ALAAgAEkARgAoAEkAUwBPAE0ASQBUAFQARQBEACgAbQBhAHgAXwBkAGkAZwBpAHQAcwApACwAIAA1ADAALAAgAE0AQQBYACgAMQAsACAATQBJAE4AKAAzADIANwA2ADYALAAgAG0AYQB4AF8AZABpAGcAaQB0AHMAKQApACkALABcAG4AXABuACAAIAAgACAAIAAgACAAIABNAEEAUAAoAFIAQQBOAEQAQQBSAFIAQQBZACgAbgBfAHIAbwB3AHMALAAgAG4AXwBjAG8AbABzACwAIABtAGkAbgBfAGwAZQBuACwAIABtAGEAeABfAGwAZQBuACwAIABUAFIAVQBFACkALAAgAEwAQQBNAEIARABBACgAbABlAG4AZwB0AGgALABcAG4AIAAgACAAIAAgACAAIAAgACAAIAAgACAATABFAFQAKABcAG4AIAAgACAAIAAgACAAIAAgACAAIAAgACAAIAAgACAAIABzAGkAZwBuAF8AcAByAGUAZgBpAHgALAAgAEMASABPAE8AUwBFACgAUgBBAE4ARABCAEUAVABXAEUARQBOACgAMQAsACAAMgApACwAIABcACIAXAAiACwAIABcACIALQBcACIAKQAsAFwAbgAgACAAIAAgACAAIAAgACAAIAAgACAAIAAgACAAIAAgAHIAYQBuAGQAXwBkAGkAZwBpAHQAcwAsACAAQwBPAE4AQwBBAFQAKABSAEEATgBEAEEAUgBSAEEAWQAoADEALAAgAGwAZQBuAGcAdABoACwAIAAwACwAIAA5ACwAIABUAFIAVQBFACkAKQAsAFwAbgAgACAAIAAgACAAIAAgACAAIAAgACAAIAAgACAAIAAgAHMAaQBnAG4AXwBwAHIAZQBmAGkAeAAgACYAIABSAEUARwBFAFgAUgBFAFAATABBAEMARQAoAHIAYQBuAGQAXwBkAGkAZwBpAHQAcwAsACAAXAAiAF4AMAAqAFwAIgAsACAAXAAiAFwAIgApAFwAbgAgACAAIAAgACAAIAAgACAAIAAgACAAIAApAFwAbgAgACAAIAAgACAAIAAgACAAKQApAFwAbgAgACAAIAAgACkAXABuACkAOwBcAG4AXABuAC8AKgAqAFwAbgAgACoAIABSAGUAdAB1AHIAbgBzACAAMgAtAHIAbwB3ACAAYQByAHIAYQB5ADoAIABbAFEAdQBvAHQAaQBlAG4AdAA7ACAAUgBlAG0AYQBpAG4AZABlAHIAXQAuACAAUwB1AHAAcABvAHIAdABzACAAVAByAHUAbgBjAGEAdABlAGQAIABvAHIAIABGAGwAbwBvAHIAIABkAGkAdgBpAHMAaQBvAG4ALgBcAG4AIAAqACAAWwBpAG4AcAB1AHQAXwBhADoAIABUAGUAeAB0ACwAIABpAG4AcAB1AHQAXwBiADoAIABUAGUAeAB0ACwAIAB1AHMAZQBfAGYAbABvAG8AcgA6ACAAQgBvAG8AbABdAFwAbgAgACoALwBcAG4ARABpAHYATQBvAGQAIAA9ACAATABBAE0AQgBEAEEAKABpAG4AcAB1AHQAXwBhACwAIABpAG4AcAB1AHQAXwBiACwAIABbAHUAcwBlAF8AZgBsAG8AbwByAF0ALABcAG4AIAAgACAAIABMAEUAVAAoAFwAbgAgACAAIAAgACAAIAAgACAAcwB0AHIAXwBuAG8AcgBtAF8AYQAsACAATgBvAHIAbQAoAGkAbgBwAHUAdABfAGEAKQAsAFwAbgAgACAAIAAgACAAIAAgACAAcwB0AHIAXwBuAG8AcgBtAF8AYgAsACAATgBvAHIAbQAoAGkAbgBwAHUAdABfAGIAKQAsAFwAbgAgACAAIAAgACAAIAAgACAAcwBpAGcAbgBfAGEALAAgAEIAaQBnAEkAbgB0AC4AUwBpAGcAbgAoAHMAdAByAF8AbgBvAHIAbQBfAGEAKQAsAFwAbgAgACAAIAAgACAAIAAgACAAcwBpAGcAbgBfAGIALAAgAEIAaQBnAEkAbgB0AC4AUwBpAGcAbgAoAHMAdAByAF8AbgBvAHIAbQBfAGIAKQAsAFwAbgAgACAAIAAgACAAIAAgACAAaQBzAF8AZgBsAG8AbwByAF8AZABpAHYALAAgAEkARgAoAEkAUwBPAE0ASQBUAFQARQBEACgAdQBzAGUAXwBmAGwAbwBvAHIAKQAsACAARgBBAEwAUwBFACwAIAB1AHMAZQBfAGYAbABvAG8AcgApACwAXABuAFwAbgAgACAAIAAgACAAIAAgACAASQBGACgAcwBpAGcAbgBfAGIAIAA9ACAAMAAsACAAIwBEAEkAVgAvADAAIQAsAFwAbgAgACAAIAAgACAAIAAgACAASQBGACgAcwBpAGcAbgBfAGEAIAA9ACAAMAAsACAAewBcACIAMABcACIAOwBcACIAMABcACIAfQAsAFwAbgAgACAAIAAgACAAIAAgACAAIAAgACAAIABMAEUAVAAoAFwAbgAgACAAIAAgACAAIAAgACAAIAAgACAAIAAgACAAIAAgAGsALAAgAGMAbwByAGUAXwBCAGkAZwBJAG4AdAAuAFMAYQBmAGUASwAoAFwAIgBEAEkAVgBcACIAKQAsAFwAbgAgACAAIAAgACAAIAAgACAAIAAgACAAIAAgACAAIAAgAGwAaQBtAGIAcwBfAGEALAAgAGMAbwByAGUAXwBCAGkAZwBJAG4AdAAuAFMAcABsAGkAdAAoAEIAaQBnAEkAbgB0AC4AQQBiAHMAKABzAHQAcgBfAG4AbwByAG0AXwBhACkALAAgAGsAKQAsAFwAbgAgACAAIAAgACAAIAAgACAAIAAgACAAIAAgACAAIAAgAGwAaQBtAGIAcwBfAGIALAAgAGMAbwByAGUAXwBCAGkAZwBJAG4AdAAuAFMAcABsAGkAdAAoAEIAaQBnAEkAbgB0AC4AQQBiAHMAKABzAHQAcgBfAG4AbwByAG0AXwBiACkALAAgAGsAKQAsAFwAbgBcAG4AIAAgACAAIAAgACAAIAAgACAAIAAgACAAIAAgACAAIABwAGEAYwBrAGUAZABfAHIAZQBzAHUAbAB0ACwAIABjAG8AcgBlAF8AQgBpAGcASQBuAHQALgBEAGkAdgBSAG8AdQB0AGUAcgAoAGwAaQBtAGIAcwBfAGEALAAgAGwAaQBtAGIAcwBfAGIALAAgAGsAKQAsAFwAbgBcAG4AIAAgACAAIAAgACAAIAAgACAAIAAgACAAIAAgACAAIABsAGUAbgBfAHIAZQBtAGEAaQBuAGQAZQByACwAIABJAE4ARABFAFgAKABwAGEAYwBrAGUAZABfAHIAZQBzAHUAbAB0ACwAIAAxACwAIAAxACkALABcAG4AIAAgACAAIAAgACAAIAAgACAAIAAgACAAIAAgACAAIABsAGkAbQBiAHMAXwByAGUAbQBhAGkAbgBkAGUAcgAsACAAQwBIAE8ATwBTAEUAUgBPAFcAUwAoAHAAYQBjAGsAZQBkAF8AcgBlAHMAdQBsAHQALAAgAFMARQBRAFUARQBOAEMARQAoAGwAZQBuAF8AcgBlAG0AYQBpAG4AZABlAHIALAAgADEALAAgADIAKQApACwAXABuACAAIAAgACAAIAAgACAAIAAgACAAIAAgACAAIAAgACAAbABpAG0AYgBzAF8AcQB1AG8AdABpAGUAbgB0ACwAIABEAFIATwBQACgAcABhAGMAawBlAGQAXwByAGUAcwB1AGwAdAAsACAAbABlAG4AXwByAGUAbQBhAGkAbgBkAGUAcgAgACsAIAAxACkALABcAG4AXABuACAAIAAgACAAIAAgACAAIAAgACAAIAAgACAAIAAgACAAZgBpAG4AYQBsAF8AcwBpAGcAbgAsACAAcwBpAGcAbgBfAGEAIAAqACAAcwBpAGcAbgBfAGIALABcAG4AIAAgACAAIAAgACAAIAAgACAAIAAgACAAIAAgACAAIABzAHQAcgBfAG0AZQByAGcAZQBkAF8AcQAsACAAYwBvAHIAZQBfAEIAaQBnAEkAbgB0AC4ATQBlAHIAZwBlACgAbABpAG0AYgBzAF8AcQB1AG8AdABpAGUAbgB0ACwAIABrACkALABcAG4AIAAgACAAIAAgACAAIAAgACAAIAAgACAAIAAgACAAIABzAHQAcgBfAG0AZQByAGcAZQBkAF8AcgAsACAAYwBvAHIAZQBfAEIAaQBnAEkAbgB0AC4ATQBlAHIAZwBlACgAbABpAG0AYgBzAF8AcgBlAG0AYQBpAG4AZABlAHIALAAgAGsAKQAsAFwAbgBcAG4AIAAgACAAIAAgACAAIAAgACAAIAAgACAAIAAgACAAIABzAHQAcgBfAHQAcgB1AG4AYwBfAHEALAAgAEkARgAoAEEATgBEACgAZgBpAG4AYQBsAF8AcwBpAGcAbgAgAD0AIAAtADEALAAgAHMAdAByAF8AbQBlAHIAZwBlAGQAXwBxACAAPAA+ACAAXAAiADAAXAAiACkAIAAsACAAXAAiAC0AXAAiACAAJgAgAHMAdAByAF8AbQBlAHIAZwBlAGQAXwBxACwAIABzAHQAcgBfAG0AZQByAGcAZQBkAF8AcQApACwAXABuACAAIAAgACAAIAAgACAAIAAgACAAIAAgACAAIAAgACAAcwB0AHIAXwB0AHIAdQBuAGMAXwByACwAIABJAEYAKABhAG4AZAAoAHMAaQBnAG4AXwBhACAAPQAgAC0AMQAsACAAcwB0AHIAXwBtAGUAcgBnAGUAZABfAHIAIAA8AD4AIABcACIAMABcACIAKQAsACAAXAAiAC0AXAAiACAAJgAgAHMAdAByAF8AbQBlAHIAZwBlAGQAXwByACwAIABzAHQAcgBfAG0AZQByAGcAZQBkAF8AcgApACwAXABuAFwAbgAgACAAIAAgACAAIAAgACAAIAAgACAAIAAgACAAIAAgAC8ALwAgAFAAeQB0AGgAbwBuAC0AcwB0AHkAbABlACAAZgBsAG8AbwByACAAZABpAHYAaQBzAGkAbwBuACAAcgBlAHEAdQBpAHIAZQBzACAAYQAgAGMAbwByAHIAZQBjAHQAaQBvAG4AIABzAHQAZQBwACAAdwBoAGUAbgAgAHMAaQBnAG4AcwAgAGEAcgBlACAAbQBpAHgAZQBkACAAYQBuAGQAIAByAGUAbQBhAGkAbgBkAGUAcgAgAGkAcwAgAG4AbwBuAC0AegBlAHIAbwAuAFwAbgAgACAAIAAgACAAIAAgACAAIAAgACAAIAAgACAAIAAgAG4AZQBlAGQAcwBfAGYAbABvAG8AcgBfAGMAbwByAHIAZQBjAHQAaQBvAG4ALAAgAEEATgBEACgAaQBzAF8AZgBsAG8AbwByAF8AZABpAHYALAAgAGYAaQBuAGEAbABfAHMAaQBnAG4AIAA9ACAALQAxACwAIABzAHQAcgBfAG0AZQByAGcAZQBkAF8AcgAgADwAPgAgAFwAIgAwAFwAIgApACwAXABuAFwAbgAgACAAIAAgACAAIAAgACAAIAAgACAAIAAgACAAIAAgAHMAdAByAF8AZgBpAG4AYQBsAF8AcQAsACAASQBGACgAbgBlAGUAZABzAF8AZgBsAG8AbwByAF8AYwBvAHIAcgBlAGMAdABpAG8AbgAsACAAUwB1AGIAKABzAHQAcgBfAHQAcgB1AG4AYwBfAHEALAAgAFwAIgAxAFwAIgApACwAIABzAHQAcgBfAHQAcgB1AG4AYwBfAHEAKQAsAFwAbgAgACAAIAAgACAAIAAgACAAIAAgACAAIAAgACAAIAAgAHMAdAByAF8AZgBpAG4AYQBsAF8AcgAsACAASQBGACgAbgBlAGUAZABzAF8AZgBsAG8AbwByAF8AYwBvAHIAcgBlAGMAdABpAG8AbgAsACAAQQBkAGQAKABzAHQAcgBfAHQAcgB1AG4AYwBfAHIALAAgAHMAdAByAF8AbgBvAHIAbQBfAGIAKQAsACAAcwB0AHIAXwB0AHIAdQBuAGMAXwByACkALABcAG4AXABuACAAIAAgACAAIAAgACAAIAAgACAAIAAgACAAIAAgACAAVgBTAFQAQQBDAEsAKABzAHQAcgBfAGYAaQBuAGEAbABfAHEALAAgAHMAdAByAF8AZgBpAG4AYQBsAF8AcgApAFwAbgAgACAAIAAgACAAIAAgACAAIAAgACAAIAApAFwAbgAgACAAIAAgACAAIAAgACAAKQApAFwAbgAgACAAIAAgACkAXABuACkAOwBcAG4AXABuAC8AKgAqAFwAbgAgACoAIABSAGUAdAB1AHIAbgBzACAAdABoAGUAIABxAHUAbwB0AGkAZQBuAHQAIABvAGYAIABBACAALwAgAEIALgAgAEQAZQBmAGEAdQBsAHQAcwAgAHQAbwAgAFQAcgB1AG4AYwBhAHQAZQBkACAAZABpAHYAaQBzAGkAbwBuAC4AXABuACAAKgAgAFsAaQBuAHAAdQB0AF8AYQA6ACAAVABlAHgAdAAsACAAaQBuAHAAdQB0AF8AYgA6ACAAVABlAHgAdAAsACAAdQBzAGUAXwBmAGwAbwBvAHIAOgAgAEIAbwBvAGwAXQBcAG4AIAAqAC8AXABuAEQAaQB2ACAAPQAgAEwAQQBNAEIARABBACgAaQBuAHAAdQB0AF8AYQAsACAAaQBuAHAAdQB0AF8AYgAsACAAWwB1AHMAZQBfAGYAbABvAG8AcgBdACwAXABuACAAIAAgACAASQBOAEQARQBYACgARABpAHYATQBvAGQAKABpAG4AcAB1AHQAXwBhACwAIABpAG4AcAB1AHQAXwBiACwAIAB1AHMAZQBfAGYAbABvAG8AcgApACwAIAAxACwAIAAxACkAXABuACkAOwBcAG4AXABuAC8AKgAqAFwAbgAgACoAIABSAGUAdAB1AHIAbgBzACAAdABoAGUAIAByAGUAbQBhAGkAbgBkAGUAcgAgAG8AZgAgAEEAIAAvACAAQgAuACAARABlAGYAYQB1AGwAdABzACAAdABvACAAVAByAHUAbgBjAGEAdABlAGQAIABkAGkAdgBpAHMAaQBvAG4ALgBcAG4AIAAqACAAWwBpAG4AcAB1AHQAXwBhADoAIABUAGUAeAB0ACwAIABpAG4AcAB1AHQAXwBiADoAIABUAGUAeAB0ACwAIAB1AHMAZQBfAGYAbABvAG8AcgA6ACAAQgBvAG8AbABdAFwAbgAgACoALwBcAG4ATQBvAGQAIAA9ACAATABBAE0AQgBEAEEAKABpAG4AcAB1AHQAXwBhACwAIABpAG4AcAB1AHQAXwBiACwAIABbAHUAcwBlAF8AZgBsAG8AbwByAF0ALABcAG4AIAAgACAAIABJAE4ARABFAFgAKABEAGkAdgBNAG8AZAAoAGkAbgBwAHUAdABfAGEALAAgAGkAbgBwAHUAdABfAGIALAAgAHUAcwBlAF8AZgBsAG8AbwByACkALAAgADIALAAgADEAKQBcAG4AKQA7AFwAbgBcAG4ALwAqACoAXABuACAAKgAgAFIAZQB0AHUAcgBuAHMAIABiAGEAcwBlACAAcgBhAGkAcwBlAGQAIAB0AG8AIAB0AGgAZQAgAHAAbwB3AGUAcgAgAG8AZgAgAGUAeABwAG8AbgBlAG4AdAAuAFwAbgAgACoAIABbAGIAYQBzAGUAOgAgAFQAZQB4AHQALAAgAGUAeABwAG8AbgBlAG4AdAA6ACAAVABlAHgAdABdAFwAbgAgACoALwBcAG4AUABvAHcAIAA9ACAATABBAE0AQgBEAEEAKABiAGEAcwBlACwAIABlAHgAcABvAG4AZQBuAHQALABcAG4AIAAgACAAIABMAEUAVAAoAFwAbgAgACAAIAAgACAAIAAgACAAcwB0AHIAXwBuAG8AcgBtAF8AYgBhAHMAZQAsACAATgBvAHIAbQAoAGIAYQBzAGUAKQAsAFwAbgAgACAAIAAgACAAIAAgACAAcwB0AHIAXwBuAG8AcgBtAF8AZQB4AHAALAAgAE4AbwByAG0AKABlAHgAcABvAG4AZQBuAHQAKQAsAFwAbgAgACAAIAAgACAAIAAgACAAcwBpAGcAbgBfAGIAYQBzAGUALAAgAEIAaQBnAEkAbgB0AC4AUwBpAGcAbgAoAHMAdAByAF8AbgBvAHIAbQBfAGIAYQBzAGUAKQAsAFwAbgAgACAAIAAgACAAIAAgACAAcwBpAGcAbgBfAGUAeABwACwAIABCAGkAZwBJAG4AdAAuAFMAaQBnAG4AKABzAHQAcgBfAG4AbwByAG0AXwBlAHgAcAApACwAXABuAFwAbgAgACAAIAAgACAAIAAgACAAcwB0AHIAXwBhAGIAcwBfAGIAYQBzAGUALAAgAEIAaQBnAEkAbgB0AC4AQQBiAHMAKABzAHQAcgBfAG4AbwByAG0AXwBiAGEAcwBlACkALABcAG4AIAAgACAAIAAgACAAIAAgAHMAdAByAF8AYQBiAHMAXwBlAHgAcAAsACAAQgBpAGcASQBuAHQALgBBAGIAcwAoAHMAdAByAF8AbgBvAHIAbQBfAGUAeABwACkALABcAG4AXABuACAAIAAgACAAIAAgACAAIABpAHMAXwBlAHgAcABfAGUAdgBlAG4ALAAgAEkAUwBFAFYARQBOACgAVgBBAEwAVQBFACgAUgBJAEcASABUACgAcwB0AHIAXwBuAG8AcgBtAF8AZQB4AHAALAAgADEAKQApACkALABcAG4AIAAgACAAIAAgACAAIAAgAGYAaQBuAGEAbABfAHMAaQBnAG4ALAAgAEkARgAoAHMAaQBnAG4AXwBiAGEAcwBlACAAPQAgAC0AMQAsACAASQBGACgAaQBzAF8AZQB4AHAAXwBlAHYAZQBuACwAIAAxACwAIAAtADEAKQAsACAAcwBpAGcAbgBfAGIAYQBzAGUAKQAsAFwAbgBcAG4AIAAgACAAIAAgACAAIAAgAC8ALwAgAE0AYQB0AGgAZQBtAGEAdABpAGMAYQBsACAAaQBkAGUAbgB0AGkAdABpAGUAcwAgAGEAbgBkACAAZgBsAG8AbwByAC0AaQBuAHQAZQBnAGUAcgAgAGIAbwB1AG4AZABhAHIAeQAgAGMAbwBuAGQAaQB0AGkAbwBuAHMALgBcAG4AIAAgACAAIAAgACAAIAAgAEkARgAoAHMAdAByAF8AYQBiAHMAXwBiAGEAcwBlACAAPQAgAFwAIgAwAFwAIgAsACAASQBGACgAcwB0AHIAXwBuAG8AcgBtAF8AZQB4AHAAIAA9ACAAXAAiADAAXAAiACwAIAAjAE4AVQBNACEALAAgAFwAIgAwAFwAIgApACwAIAAvAC8AIAAwAF4AMAAgAGkAcwAgAHUAbgBkAGUAZgBpAG4AZQBkAFwAbgAgACAAIAAgACAAIAAgACAASQBGACgAcwB0AHIAXwBhAGIAcwBfAGIAYQBzAGUAIAA9ACAAXAAiADEAXAAiACwAIABJAEYAKABmAGkAbgBhAGwAXwBzAGkAZwBuACAAPQAgAC0AMQAsACAAXAAiAC0AMQBcACIALAAgAFwAIgAxAFwAIgApACwAXABuACAAIAAgACAAIAAgACAAIABJAEYAKABzAGkAZwBuAF8AZQB4AHAAIAA9ACAALQAxACwAIABcACIAMABcACIALAAgAC8ALwAgAEkAbgB0AGUAZwBlAHIAIAB0AHIAdQBuAGMAYQB0AGkAbwBuADoAIABuAGUAZwBhAHQAaQB2AGUAIABlAHgAcABvAG4AZQBuAHQAcwAgAHkAaQBlAGwAZAAgADAAIABmAG8AcgAgAGIAYQBzAGUAcwAgAD4APQAgADIAXABuACAAIAAgACAAIAAgACAAIABJAEYAKABzAHQAcgBfAG4AbwByAG0AXwBlAHgAcAAgAD0AIABcACIAMABcACIALAAgAFwAIgAxAFwAIgAsAFwAbgBcAG4AIAAgACAAIAAgACAAIAAgAC8ALwAgAFQAcgBhAHAAIABlAHgAcABvAG4AZQBuAHQAcwAgAHQAaABhAHQAIABhAHIAZQAgAGcAdQBhAHIAYQBuAHQAZQBlAGQAIAB0AG8AIABlAHgAYwBlAGUAZAAgAEUAeABjAGUAbAAnAHMAIABzAHQAcgBpAG4AZwAgAGwAaQBtAGkAdABzAC4AXABuACAAIAAgACAAIAAgACAAIABJAEYAKABMAEUATgAoAHMAdAByAF8AbgBvAHIAbQBfAGUAeABwACkAIAA+ACAANgAsACAAIwBOAFUATQAhACwAXABuACAAIAAgACAAIAAgACAAIAAgACAAIAAgAEwARQBUACgAXABuACAAIAAgACAAIAAgACAAIAAgACAAIAAgACAAIAAgACAAbgB1AG0AXwBlAHgAcAAsACAAVgBBAEwAVQBFACgAcwB0AHIAXwBuAG8AcgBtAF8AZQB4AHAAKQAsAFwAbgBcAG4AIAAgACAAIAAgACAAIAAgACAAIAAgACAAIAAgACAAIAAvAC8AIABEAGUAdABlAHIAbQBpAG4AZQAgAGkAZgAgAHQAaABpAHMAIABjAGEAbABjAHUAbABhAHQAaQBvAG4AIAB3AGkAbABsACAAZQB4AGMAZQBlAGQAIABFAHgAYwBlAGwAJwBzACAAcwB0AHIAaQBuAGcAIABsAGkAbQBpAHQAcwAuAFwAbgAgACAAIAAgACAAIAAgACAAIAAgACAAIAAgACAAIAAgAGIAYQBzAGUAXwBsAG8AZwAxADAALAAgAEwATwBHADEAMAAoAFYAQQBMAFUARQAoAEwARQBGAFQAKABzAHQAcgBfAGEAYgBzAF8AYgBhAHMAZQAsACAAMQA0ACkAKQApACAAKwAgAE0AQQBYACgAMAAsACAATABFAE4AKABzAHQAcgBfAGEAYgBzAF8AYgBhAHMAZQApACAALQAgADEANAApACwAXABuACAAIAAgACAAIAAgACAAIAAgACAAIAAgACAAIAAgACAAYQBwAHAAcgBvAHgAXwBkAGkAZwBpAHQAcwAsACAAbgB1AG0AXwBlAHgAcAAgACoAIABiAGEAcwBlAF8AbABvAGcAMQAwACwAXABuAFwAbgAgACAAIAAgACAAIAAgACAAIAAgACAAIAAgACAAIAAgAEkARgAoAGEAcABwAHIAbwB4AF8AZABpAGcAaQB0AHMAIAA+ACAAMwAyADcANgA2ACwAIAAjAE4AVQBNACEALABcAG4AIAAgACAAIAAgACAAIAAgACAAIAAgACAAIAAgACAAIAAgACAAIAAgAEwARQBUACgAXABuACAAIAAgACAAIAAgACAAIAAgACAAIAAgACAAIAAgACAAIAAgACAAIAAgACAAIAAgAC8ALwAgAEUAeABwAG8AbgBlAG4AdABpAGEAdABpAG8AbgAgAGMAbwBuAHQAZQB4AHQAIAB1AHMAZQBzACAAYQBwAHAAcgBvAHgAXwBkAGkAZwBpAHQAcwAgAC8AIAAyACAAZgBvAHIAIABTAGEAZgBlAEsAIAB0AG8AIABhAGMAYwBvAHUAbgB0ACAAZgBvAHIAIABjAG8AbgB2AG8AbAB1AHQAaQBvAG4AIABvAHYAZQByAGwAYQBwACAAaQBuACAAVQBNAHUAbAAuAFwAbgAgACAAIAAgACAAIAAgACAAIAAgACAAIAAgACAAIAAgACAAIAAgACAAIAAgACAAIABrACwAIABjAG8AcgBlAF8AQgBpAGcASQBuAHQALgBTAGEAZgBlAEsAKABcACIATQBVAEwAXAAiACwAIABhAHAAcAByAG8AeABfAGQAaQBnAGkAdABzACAALwAgADIAKQAsAFwAbgAgACAAIAAgACAAIAAgACAAIAAgACAAIAAgACAAIAAgACAAIAAgACAAIAAgACAAIABsAGkAbQBiAHMAXwBiAGEAcwBlACwAIABjAG8AcgBlAF8AQgBpAGcASQBuAHQALgBTAHAAbABpAHQAKABzAHQAcgBfAGEAYgBzAF8AYgBhAHMAZQAsACAAawApACwAXABuAFwAbgAgACAAIAAgACAAIAAgACAAIAAgACAAIAAgACAAIAAgACAAIAAgACAAIAAgACAAIABsAGkAbQBiAHMAXwBmAGkAbgBhAGwALAAgAGMAbwByAGUAXwBCAGkAZwBJAG4AdAAuAFUAUABvAHcAKABsAGkAbQBiAHMAXwBiAGEAcwBlACwAIABzAHQAcgBfAG4AbwByAG0AXwBlAHgAcAAsACAAawApACwAXABuACAAIAAgACAAIAAgACAAIAAgACAAIAAgACAAIAAgACAAIAAgACAAIAAgACAAIAAgAHMAdAByAF8AbQBlAHIAZwBlAGQALAAgAGMAbwByAGUAXwBCAGkAZwBJAG4AdAAuAE0AZQByAGcAZQAoAGwAaQBtAGIAcwBfAGYAaQBuAGEAbAAsACAAawApACwAXABuAFwAbgAgACAAIAAgACAAIAAgACAAIAAgACAAIAAgACAAIAAgACAAIAAgACAAIAAgACAAIABJAEYAKABmAGkAbgBhAGwAXwBzAGkAZwBuACAAPQAgAC0AMQAsACAAXAAiAC0AXAAiACAAJgAgAHMAdAByAF8AbQBlAHIAZwBlAGQALAAgAHMAdAByAF8AbQBlAHIAZwBlAGQAKQBcAG4AIAAgACAAIAAgACAAIAAgACAAIAAgACAAIAAgACAAIAAgACAAIAAgACkAXABuACAAIAAgACAAIAAgACAAIAAgACAAIAAgACAAIAAgACAAKQBcAG4AIAAgACAAIAAgACAAIAAgACAAIAAgACAAKQBcAG4AIAAgACAAIAAgACAAIAAgACkAKQApACkAKQBcAG4AIAAgACAAIAApAFwAbgApADsAXABuAFwAbgAvACoAKgBcAG4AIAAqACAAUgBlAHQAdQByAG4AcwAgAHQAaABlACAAaQBuAHQAZQBnAGUAcgAgAHMAcQB1AGEAcgBlACAAcgBvAG8AdAAgACgAZgBsAG8AbwByACkAIABvAGYAIABhACAAQgBpAGcASQBuAHQALgBcAG4AIAAqACAAWwBpAG4AcAB1AHQAOgAgAFQAZQB4AHQAXQBcAG4AIAAqAC8AXABuAFMAcQByAHQAIAA9ACAATABBAE0AQgBEAEEAKABpAG4AcAB1AHQALABcAG4AIAAgACAAIABMAEUAVAAoAFwAbgAgACAAIAAgACAAIAAgACAAcwB0AHIAXwBuAG8AcgBtACwAIABOAG8AcgBtACgAaQBuAHAAdQB0ACkALABcAG4AIAAgACAAIAAgACAAIAAgAHMAaQBnAG4AXwBuACwAIABCAGkAZwBJAG4AdAAuAFMAaQBnAG4AKABzAHQAcgBfAG4AbwByAG0AKQAsAFwAbgBcAG4AIAAgACAAIAAgACAAIAAgAEkARgAoAHMAaQBnAG4AXwBuACAAPQAgAC0AMQAsACAAIwBOAFUATQAhACwAXABuACAAIAAgACAAIAAgACAAIABJAEYAKABzAHQAcgBfAG4AbwByAG0AIAA9ACAAXAAiADAAXAAiACwAIABcACIAMABcACIALABcAG4AIAAgACAAIAAgACAAIAAgAEkARgAoAHMAdAByAF8AbgBvAHIAbQAgAD0AIABcACIAMQBcACIALAAgAFwAIgAxAFwAIgAsAFwAbgAgACAAIAAgACAAIAAgACAAIAAgACAAIABMAEUAVAAoAFwAbgAgACAAIAAgACAAIAAgACAAIAAgACAAIAAgACAAIAAgAGwAZQBuAF8AbgBvAHIAbQAsACAATABFAE4AKABzAHQAcgBfAG4AbwByAG0AKQAsAFwAbgAgACAAIAAgACAAIAAgACAAIAAgACAAIAAgACAAIAAgAG4AdQBtAF8AcwBlAGUAZABfAHAAcgBlAGMAaQBzAGkAbwBuACwAIABJAEYAKABsAGUAbgBfAG4AbwByAG0AIAA8AD0AIAAxADQALAAgAGwAZQBuAF8AbgBvAHIAbQAsACAASQBGACgASQBTAEUAVgBFAE4AKABsAGUAbgBfAG4AbwByAG0AKQAsACAAMQA0ACwAIAAxADMAKQApACwAXABuACAAIAAgACAAIAAgACAAIAAgACAAIAAgACAAIAAgACAAcwB0AHIAXwBuAGEAdABpAHYAZQBfAHAAcgBlAGMAaQBzAGkAbwBuACwAIABMAEUARgBUACgAcwB0AHIAXwBuAG8AcgBtACwAIABuAHUAbQBfAHMAZQBlAGQAXwBwAHIAZQBjAGkAcwBpAG8AbgApACwAXABuACAAIAAgACAAIAAgACAAIAAgACAAIAAgACAAIAAgACAAbgB1AG0AXwBuAGEAdABpAHYAZQBfAHAAcgBlAGMAaQBzAGkAbwBuACwAIABWAEEATABVAEUAKABzAHQAcgBfAG4AYQB0AGkAdgBlAF8AcAByAGUAYwBpAHMAaQBvAG4AKQAsAFwAbgAgACAAIAAgACAAIAAgACAAIAAgACAAIAAgACAAIAAgAG4AdQBtAF8AbQBhAGcAbgBpAHQAdQBkAGUAXwB6AGUAcgBvAGUAcwAsACAAKABsAGUAbgBfAG4AbwByAG0AIAAtACAAbgB1AG0AXwBzAGUAZQBkAF8AcAByAGUAYwBpAHMAaQBvAG4AKQAgAC8AIAAyACwAXABuAFwAbgAgACAAIAAgACAAIAAgACAAIAAgACAAIAAgACAAIAAgAHMAdAByAF8AcAByAGUAZgBpAHgALAAgAFQARQBYAFQAKABSAE8AVQBOAEQAVQBQACgAUwBRAFIAVAAoAG4AdQBtAF8AbgBhAHQAaQB2AGUAXwBwAHIAZQBjAGkAcwBpAG8AbgApACwAIAAwACkAIAArACAAMQAsACAAXAAiADAAXAAiACkALABcAG4AIAAgACAAIAAgACAAIAAgACAAIAAgACAAIAAgACAAIABzAHQAcgBfAHMAZQBlAGQALAAgAHMAdAByAF8AcAByAGUAZgBpAHgAIAAmACAAUgBFAFAAVAAoAFwAIgAwAFwAIgAsACAAbgB1AG0AXwBtAGEAZwBuAGkAdAB1AGQAZQBfAHoAZQByAG8AZQBzACkALABcAG4AXABuACAAIAAgACAAIAAgACAAIAAgACAAIAAgACAAIAAgACAALwAvACAAUwBRAFIAVAAgAHIAZQBxAHUAaQByAGUAcwAgAGEAIABnAGwAbwBiAGEAbAAgAGsAIAB0AG8AIABwAHIAZQB2AGUAbgB0ACAAcAByAGUAYwBpAHMAaQBvAG4AIABkAHIAaQBmAHQAIABhAGMAcgBvAHMAcwAgAHQAaABlACAAaQB0AGUAcgBhAHQAaQB2AGUAIABOAGUAdwB0AG8AbgAgAHMAdABlAHAAcwAuAFwAbgAgACAAIAAgACAAIAAgACAAIAAgACAAIAAgACAAIAAgAGsALAAgAGMAbwByAGUAXwBCAGkAZwBJAG4AdAAuAFMAYQBmAGUASwAoAFwAIgBNAFUATABcACIALAAgAGwAZQBuAF8AbgBvAHIAbQApACwAXABuAFwAbgAgACAAIAAgACAAIAAgACAAIAAgACAAIAAgACAAIAAgAGwAaQBtAGIAcwBfAHIAYQBkAGkAYwBhAG4AZAAsACAAYwBvAHIAZQBfAEIAaQBnAEkAbgB0AC4AUwBwAGwAaQB0ACgAcwB0AHIAXwBuAG8AcgBtACwAIABrACkALABcAG4AIAAgACAAIAAgACAAIAAgACAAIAAgACAAIAAgACAAIABsAGkAbQBiAHMAXwBzAGUAZQBkACwAIABjAG8AcgBlAF8AQgBpAGcASQBuAHQALgBTAHAAbABpAHQAKABzAHQAcgBfAHMAZQBlAGQALAAgAGsAKQAsAFwAbgBcAG4AIAAgACAAIAAgACAAIAAgACAAIAAgACAAIAAgACAAIABsAGkAbQBiAHMAXwBmAGkAbgBhAGwALAAgAGMAbwByAGUAXwBCAGkAZwBJAG4AdAAuAFUAUwBxAHIAdAAoAGwAaQBtAGIAcwBfAHIAYQBkAGkAYwBhAG4AZAAsACAAbABpAG0AYgBzAF8AcwBlAGUAZAAsACAAawApACwAXABuAFwAbgAgACAAIAAgACAAIAAgACAAIAAgACAAIAAgACAAIAAgAGMAbwByAGUAXwBCAGkAZwBJAG4AdAAuAE0AZQByAGcAZQAoAGwAaQBtAGIAcwBfAGYAaQBuAGEAbAAsACAAawApAFwAbgAgACAAIAAgACAAIAAgACAAIAAgACAAIAApAFwAbgAgACAAIAAgACAAIAAgACAAKQApACkAXABuACAAIAAgACAAKQBcAG4AKQA7AFwAbgBcAG4ALwAqACoAXABuACAAKgAgAFIAZQB0AHUAcgBuAHMAIAB0AGgAZQAgAGYAYQBjAHQAbwByAGkAYQBsACAAKABuACEAKQAgAHUAcwBpAG4AZwAgAFAAcgBpAG0AZQAgAFMAdwBpAG4AZwAuACAATQBhAHgAIABpAG4AcAB1AHQAOgAgADkAMgA3ADMALgBcAG4AIAAqACAAWwBpAG4AcAB1AHQAOgAgAFQAZQB4AHQAXQBcAG4AIAAqAC8AXABuAEYAYQBjAHQAIAA9ACAATABBAE0AQgBEAEEAKABpAG4AcAB1AHQALABcAG4AIAAgACAAIABMAEUAVAAoAFwAbgAgACAAIAAgACAAIAAgACAAcwB0AHIAXwBuAG8AcgBtACwAIABOAG8AcgBtACgAaQBuAHAAdQB0ACkALABcAG4AIAAgACAAIAAgACAAIAAgAHMAaQBnAG4AXwBuACwAIABCAGkAZwBJAG4AdAAuAFMAaQBnAG4AKABzAHQAcgBfAG4AbwByAG0AKQAsAFwAbgBcAG4AIAAgACAAIAAgACAAIAAgAEkARgAoAHMAaQBnAG4AXwBuACAAPQAgAC0AMQAsACAAIwBOAFUATQAhACwAXABuACAAIAAgACAAIAAgACAAIABJAEYAKABzAHQAcgBfAG4AbwByAG0AIAA9ACAAXAAiADAAXAAiACwAIABcACIAMQBcACIALABcAG4AIAAgACAAIAAgACAAIAAgAEkARgAoAHMAdAByAF8AbgBvAHIAbQAgAD0AIABcACIAMQBcACIALAAgAFwAIgAxAFwAIgAsAFwAbgAgACAAIAAgACAAIAAgACAALwAvACAAVAByAGEAcAAgAGYAYQBjAGMAdABvAHIAaQBhAGwAcwAgAHQAaABhAHQAIABhAHIAZQAgAGcAdQBhAHIAYQBuAHQAZQBlAGQAIAB0AG8AIABlAHgAYwBlAGUAZAAgAEUAeABjAGUAbAAnAHMAIABzAHQAcgBpAG4AZwAgAGwAaQBtAGkAdABzAC4AXABuACAAIAAgACAAIAAgACAAIABJAEYAKABMAEUATgAoAHMAdAByAF8AbgBvAHIAbQApACAAPgAgADQALAAgACMATgBVAE0AIQAsAFwAbgAgACAAIAAgACAAIAAgACAALwAvACAAOQAyADcAMwAhACAAaQBzACAAdABoAGUAIABhAGIAcwBvAGwAdQB0AGUAIABwAGgAeQBzAGkAYwBhAGwAIABjAGUAaQBsAGkAbgBnACAAZgBvAHIAIABhACAAMwAyACwANwA2ADYAIABjAGgAYQByAGEAYwB0AGUAcgAgAHMAdAByAGkAbgBnAC4AXABuACAAIAAgACAAIAAgACAAIABJAEYAKABWAEEATABVAEUAKABzAHQAcgBfAG4AbwByAG0AKQAgAD4AIAA5ADIANwAzACwAIAAjAE4AVQBNACEALABcAG4AIAAgACAAIAAgACAAIAAgACAAIAAgACAATABFAFQAKABcAG4AIAAgACAAIAAgACAAIAAgACAAIAAgACAAIAAgACAAIABuAHUAbQBfAG4ALAAgAFYAQQBMAFUARQAoAHMAdAByAF8AbgBvAHIAbQApACwAXABuACAAIAAgACAAIAAgACAAIAAgACAAIAAgACAAIAAgACAAZwBsAG8AYgBhAGwAXwBwAHIAaQBtAGUAcwAsACAAYwBvAHIAZQBfAEIAaQBnAEkAbgB0AC4ATgBhAHQAaQB2AGUAUAByAGkAbQBlAHMAKABuAHUAbQBfAG4AKQAsAFwAbgBcAG4AIAAgACAAIAAgACAAIAAgACAAIAAgACAAIAAgACAAIABjAG8AcgBlAF8AQgBpAGcASQBuAHQALgBQAHIAaQBtAGUAUwB3AGkAbgBnAEsAZQByAG4AZQBsACgAbgB1AG0AXwBuACwAIABnAGwAbwBiAGEAbABfAHAAcgBpAG0AZQBzACkAXABuACAAIAAgACAAIAAgACAAIAAgACAAIAAgACkAXABuACAAIAAgACAAIAAgACAAIAApACkAKQApACkAXABuACAAIAAgACAAKQBcAG4AKQA7AFwAbgBcAG4ALwAqACoAXABuACAAKgAgAFIAZQB0AHUAcgBuAHMAIAB0AGgAZQAgAG0AaQBuAGkAbQB1AG0AIABCAGkAZwBJAG4AdAAgAGYAcgBvAG0AIABhACAAcgBhAG4AZwBlACAAbwByACAAYQByAHIAYQB5AC4AXABuACAAKgAgAFsAcgBhAG4AZwBlADoAIABSAGEAbgBnAGUALwBBAHIAcgBhAHkAXQBcAG4AIAAqAC8AXABuAE0AaQBuACAAPQAgAEwAQQBNAEIARABBACgAcgBhAG4AZwBlACwAXABuACAAIAAgACAATABFAFQAKABcAG4AIAAgACAAIAAgACAAIAAgAGYAbABhAHQAdABlAG4AZQBkAF8AYwBvAGwALAAgAFQATwBDAE8ATAAoAHIAYQBuAGcAZQAsACAAMQApACwAXABuAFwAbgAgACAAIAAgACAAIAAgACAASQBGACgATwBSACgASQBTAEUAUgBSAE8AUgAoAGYAbABhAHQAdABlAG4AZQBkAF8AYwBvAGwAKQAsACAAUgBPAFcAUwAoAGYAbABhAHQAdABlAG4AZQBkAF8AYwBvAGwAKQAgAD0AIAAwACkALAAgAFwAIgAwAFwAIgAsAFwAbgAgACAAIAAgACAAIAAgACAAIAAgACAAIABjAG8AcgBlAF8AQgBpAGcASQBuAHQALgBUAHIAZQBlAEMAbwBtAHAAYQByAGUAKABNAEEAUAAoAGYAbABhAHQAdABlAG4AZQBkAF8AYwBvAGwALAAgAEIAaQBnAEkAbgB0AC4ATgBvAHIAbQApACwAIAAtADEAKQBcAG4AIAAgACAAIAAgACAAIAAgACkAXABuACAAIAAgACAAKQBcAG4AKQA7AFwAbgBcAG4ALwAqACoAXABuACAAKgAgAFIAZQB0AHUAcgBuAHMAIAB0AGgAZQAgAG0AYQB4AGkAbQB1AG0AIABCAGkAZwBJAG4AdAAgAGYAcgBvAG0AIABhACAAcgBhAG4AZwBlACAAbwByACAAYQByAHIAYQB5AC4AXABuACAAKgAgAFsAcgBhAG4AZwBlADoAIABSAGEAbgBnAGUALwBBAHIAcgBhAHkAXQBcAG4AIAAqAC8AXABuAE0AYQB4ACAAPQAgAEwAQQBNAEIARABBACgAcgBhAG4AZwBlACwAXABuACAAIAAgACAATABFAFQAKABcAG4AIAAgACAAIAAgACAAIAAgAGYAbABhAHQAdABlAG4AZQBkAF8AYwBvAGwALAAgAFQATwBDAE8ATAAoAHIAYQBuAGcAZQAsACAAMQApACwAXABuAFwAbgAgACAAIAAgACAAIAAgACAASQBGACgATwBSACgASQBTAEUAUgBSAE8AUgAoAGYAbABhAHQAdABlAG4AZQBkAF8AYwBvAGwAKQAsACAAUgBPAFcAUwAoAGYAbABhAHQAdABlAG4AZQBkAF8AYwBvAGwAKQAgAD0AIAAwACkALAAgAFwAIgAwAFwAIgAsAFwAbgAgACAAIAAgACAAIAAgACAAIAAgACAAIABjAG8AcgBlAF8AQgBpAGcASQBuAHQALgBUAHIAZQBlAEMAbwBtAHAAYQByAGUAKABNAEEAUAAoAGYAbABhAHQAdABlAG4AZQBkAF8AYwBvAGwALAAgAEIAaQBnAEkAbgB0AC4ATgBvAHIAbQApACwAIAAxACkAXABuACAAIAAgACAAIAAgACAAIAApAFwAbgAgACAAIAAgACkAXABuACkAOwAiAH0AXQAsACIAcAByAG8AagBlAGMAdABOAGEAbQBlAHMAIgA6AFsAIgB0AGUAcwB0AF8AQgBpAGcASQBuAHQALgBLAG4AdQB0AGgARABpAHYAaQBzAGkAbwBuACIALAAiAHQAZQBzAHQAXwBCAGkAZwBJAG4AdAAuAE4AZQB3AHQAbwBuAFIAYQBwAGgAcwBvAG4ARABpAHYAaQBzAGkAbwBuACIALAAiAHQAZQBzAHQAXwBCAGkAZwBJAG4AdAAuAEQAaQB2AGkAcwBpAG8AbgBBAGwAZwBvAHIAaQB0AGgAbQBzACIALAAiAHQAZQBzAHQAXwBCAGkAZwBJAG4AdAAuAEQAaQB2AGkAcwBpAG8AbgBBAGwAZwBvAHIAaQB0AGgAbQBDAG8AbQBwAGEAcgBpAHMAbwBuACIALAAiAHQAZQBzAHQAXwBCAGkAZwBJAG4AdAAuAEQAaQB2AGkAcwBpAG8AbgBCAGUAbgBjAGgAbQBhAHIAawBDAGEAcwBlAHMAIgAsACIAdABlAHMAdABfAEIAaQBnAEkAbgB0AC4AQQBzAHkAbQBtAGUAdAByAGkAYwBBAEIARwByAGkAZAAiACwAIgB0AGUAcwB0AF8AQgBpAGcASQBuAHQALgBGAGEAYwB0AG8AcgBpAGEAbABBAGwAZwBvAHIAaQB0AGgAbQBzACIALAAiAHQAZQBzAHQAXwBCAGkAZwBJAG4AdAAuAEYAYQBjAHQAbwByAGkAYQBsAEMAbwBtAHAAYQByAGkAcwBvAG4AIgAsACIAYwBvAHIAZQBfAEIAaQBnAEkAbgB0AC4AUwBhAGYAZQBLACIALAAiAGMAbwByAGUAXwBCAGkAZwBJAG4AdAAuAFMAcABsAGkAdAAiACwAIgBjAG8AcgBlAF8AQgBpAGcASQBuAHQALgBNAGUAcgBnAGUAIgAsACIAYwBvAHIAZQBfAEIAaQBnAEkAbgB0AC4AQwBhAHIAcgB5ACIALAAiAGMAbwByAGUAXwBCAGkAZwBJAG4AdAAuAFUAQwBvAG0AcABhAHIAZQAiACwAIgBjAG8AcgBlAF8AQgBpAGcASQBuAHQALgBVAEEAZABkACIALAAiAGMAbwByAGUAXwBCAGkAZwBJAG4AdAAuAFUAUwB1AGIAIgAsACIAYwBvAHIAZQBfAEIAaQBnAEkAbgB0AC4AVQBNAGEAdAByAGkAeABTAHUAbQAiACwAIgBjAG8AcgBlAF8AQgBpAGcASQBuAHQALgBBAGQAZABTAHUAYgBSAG8AdQB0AGUAcgAiACwAIgBjAG8AcgBlAF8AQgBpAGcASQBuAHQALgBVAE0AdQBsACIALAAiAGMAbwByAGUAXwBCAGkAZwBJAG4AdAAuAEYAaQBuAGQAUQB1AG8AdABpAGUAbgB0AEwAaQBtAGIAIgAsACIAYwBvAHIAZQBfAEIAaQBnAEkAbgB0AC4ASwBuAHUAdABoAEQAaQB2ACIALAAiAGMAbwByAGUAXwBCAGkAZwBJAG4AdAAuAEQAaQB2AFIAbwB1AHQAZQByACIALAAiAGMAbwByAGUAXwBCAGkAZwBJAG4AdAAuAE4AZQB3AHQAbwBuAFIAYQBwAGgAcwBvAG4AUwBlAGUAZAAiACwAIgBjAG8AcgBlAF8AQgBpAGcASQBuAHQALgBOAGUAdwB0AG8AbgBSAGEAcABoAHMAbwBuAFIAZQBjAGkAcAByAG8AYwBhAGwAIgAsACIAYwBvAHIAZQBfAEIAaQBnAEkAbgB0AC4ATgBlAHcAdABvAG4AUgBhAHAAaABzAG8AbgBEAGkAdgAiACwAIgBjAG8AcgBlAF8AQgBpAGcASQBuAHQALgBVAFAAbwB3ACIALAAiAGMAbwByAGUAXwBCAGkAZwBJAG4AdAAuAFUAUwBxAHIAdAAiACwAIgBjAG8AcgBlAF8AQgBpAGcASQBuAHQALgBOAGEAdABpAHYAZQBQAHIAaQBtAGUAcwAiACwAIgBjAG8AcgBlAF8AQgBpAGcASQBuAHQALgBVAFQAZQB4AHQATQB1AGwAIgAsACIAYwBvAHIAZQBfAEIAaQBnAEkAbgB0AC4AVABlAHgAdABUAHIAZQBlAFAAcgBvAGQAIgAsACIAYwBvAHIAZQBfAEIAaQBnAEkAbgB0AC4ATgBhAHQAaQB2AGUAUwB3AGkAbgBnAEUAeABwAG8AbgBlAG4AdABzACIALAAiAGMAbwByAGUAXwBCAGkAZwBJAG4AdAAuAFMAdwBpAG4AZwBUAGUAcgBtACIALAAiAGMAbwByAGUAXwBCAGkAZwBJAG4AdAAuAFAAcgBpAG0AZQBTAHcAaQBuAGcASwBlAHIAbgBlAGwAIgAsACIAYwBvAHIAZQBfAEIAaQBnAEkAbgB0AC4AVAByAGUAZQBDAG8AbQBwAGEAcgBlACIALAAiAEIAaQBnAEkAbgB0AC4ATgBvAHIAbQAiACwAIgBCAGkAZwBJAG4AdAAuAFMAaQBnAG4AIgAsACIAQgBpAGcASQBuAHQALgBJAHMAWgBlAHIAbwAiACwAIgBCAGkAZwBJAG4AdAAuAEkAcwBOAGUAZwAiACwAIgBCAGkAZwBJAG4AdAAuAEkAcwBFAHYAZQBuACIALAAiAEIAaQBnAEkAbgB0AC4ASQBzAE8AZABkACIALAAiAEIAaQBnAEkAbgB0AC4AQQBiAHMAIgAsACIAQgBpAGcASQBuAHQALgBDAG8AbQBwAGEAcgBlACIALAAiAEIAaQBnAEkAbgB0AC4AQQBkAGQAIgAsACIAQgBpAGcASQBuAHQALgBTAHUAYgAiACwAIgBCAGkAZwBJAG4AdAAuAFMAdQBtACIALAAiAEIAaQBnAEkAbgB0AC4ATQB1AGwAIgAsACIAQgBpAGcASQBuAHQALgBSAGEAbgBkAEEAcgByAGEAeQAiACwAIgBCAGkAZwBJAG4AdAAuAEQAaQB2AE0AbwBkACIALAAiAEIAaQBnAEkAbgB0AC4ARABpAHYAIgAsACIAQgBpAGcASQBuAHQALgBNAG8AZAAiACwAIgBCAGkAZwBJAG4AdAAuAFAAbwB3ACIALAAiAEIAaQBnAEkAbgB0AC4AUwBxAHIAdAAiACwAIgBCAGkAZwBJAG4AdAAuAEYAYQBjAHQAIgAsACIAQgBpAGcASQBuAHQALgBNAGkAbgAiACwAIgBCAGkAZwBJAG4AdAAuAE0AYQB4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2026-04-30T10:25:22Z</dcterms:modified>
</cp:coreProperties>
</file>
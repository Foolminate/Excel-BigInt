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drawings/drawing1.xml" ContentType="application/vnd.openxmlformats-officedocument.drawing+xml"/>
  <Override PartName="/xl/tables/table4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olu\Workspace\Excel\xl-int\"/>
    </mc:Choice>
  </mc:AlternateContent>
  <xr:revisionPtr revIDLastSave="0" documentId="13_ncr:1_{61FEFC49-7320-41B5-95F3-BA9301FA05E1}" xr6:coauthVersionLast="47" xr6:coauthVersionMax="47" xr10:uidLastSave="{00000000-0000-0000-0000-000000000000}"/>
  <bookViews>
    <workbookView xWindow="0" yWindow="0" windowWidth="24580" windowHeight="21000" xr2:uid="{36490472-0618-4E80-9469-F609392FABC8}"/>
  </bookViews>
  <sheets>
    <sheet name="Tests" sheetId="1" r:id="rId1"/>
    <sheet name="Notes" sheetId="5" r:id="rId2"/>
    <sheet name="div bench" sheetId="3" r:id="rId3"/>
    <sheet name="Sheet1" sheetId="6" r:id="rId4"/>
  </sheets>
  <definedNames>
    <definedName name="BigInt.Abs" comment="Returns the unsigned magnitude of a BigInt string (absolute value)._x000a_@param input The BigInt string.">_xlfn.LAMBDA(_xlpm.input, _xlfn.LET(_xlpm.str_norm, BigInt.Norm(_xlpm.input), IF(LEFT(_xlpm.str_norm) = "-", MID(_xlpm.str_norm, 2, LEN(_xlpm.str_norm) - 1), _xlpm.str_norm)))</definedName>
    <definedName name="BigInt.Add" comment="Adds two BigInt strings._x000a_@param input_a The first BigInt string._x000a_@param input_b The second BigInt string.">_xlfn.LAMBDA(_xlpm.input_a,_xlpm.input_b, _xlfn.LET(_xlpm.str_norm_a, BigInt.Norm(_xlpm.input_a), _xlpm.str_norm_b, BigInt.Norm(_xlpm.input_b), _xlpm.sign_a, BigInt.Sign(_xlpm.str_norm_a), _xlpm.sign_b, BigInt.Sign(_xlpm.str_norm_b), _xlpm.k, core_BigInt.SafeK("ADD"), _xlpm.limbs_a, core_BigInt.Split(BigInt.Abs(_xlpm.str_norm_a), _xlpm.k), _xlpm.limbs_b, core_BigInt.Split(BigInt.Abs(_xlpm.str_norm_b), _xlpm.k), _xlpm.packed_result, core_BigInt.AddSubRouter(_xlpm.limbs_a, _xlpm.limbs_b, _xlpm.sign_a, _xlpm.sign_b, _xlpm.k), _xlpm.final_sign, _xlfn.CHOOSEROWS(_xlpm.packed_result, -1), _xlpm.final_limbs, _xlfn.DROP(_xlpm.packed_result, -1), _xlpm.str_merged, core_BigInt.Merge(_xlpm.final_limbs, _xlpm.k), IF(_xlpm.final_sign = -1, "-" &amp; _xlpm.str_merged, _xlpm.str_merged)))</definedName>
    <definedName name="BigInt.Compare" comment="Compares two BigInt strings. Returns 1 (a &gt; b), -1 (a &lt; b), or 0 (a = b)._x000a_Evaluates signs and lengths. If identical, delegates to native limb array comparison._x000a_@param input_a The first BigInt string._x000a_@param input_b The second BigInt string.">_xlfn.LAMBDA(_xlpm.input_a,_xlpm.input_b, _xlfn.LET(_xlpm.str_norm_a, BigInt.Norm(_xlpm.input_a), _xlpm.str_norm_b, BigInt.Norm(_xlpm.input_b), _xlpm.sign_a, BigInt.Sign(_xlpm.str_norm_a), _xlpm.sign_b, BigInt.Sign(_xlpm.str_norm_b), IF(_xlpm.sign_a &lt;&gt; _xlpm.sign_b, SIGN(_xlpm.sign_a - _xlpm.sign_b), IF(_xlpm.sign_a = 0, 0, _xlfn.LET(_xlpm.len_a, LEN(_xlpm.str_norm_a), _xlpm.len_b, LEN(_xlpm.str_norm_b), IF(_xlpm.len_a &lt;&gt; _xlpm.len_b, SIGN(_xlpm.len_a - _xlpm.len_b) * _xlpm.sign_a, _xlfn.LET(_xlpm.k, core_BigInt.SafeK("ADD"), _xlpm.limbs_a, core_BigInt.Split(BigInt.Abs(_xlpm.str_norm_a), _xlpm.k), _xlpm.limbs_b, core_BigInt.Split(BigInt.Abs(_xlpm.str_norm_b), _xlpm.k), _xlpm.magnitude_comparison, core_BigInt.UCompare(_xlpm.limbs_a, _xlpm.limbs_b), _xlpm.magnitude_comparison * _xlpm.sign_a)))))))</definedName>
    <definedName name="BigInt.Div" comment="Divides the first BigInt by the second (A / B). _x000a_@param input_a The dividend BigInt string._x000a_@param input_b The divisor BigInt string._x000a_@param [use_floor] Optional boolean. TRUE for Python-style Floor division. Defaults to FALSE.">_xlfn.LAMBDA(_xlpm.input_a,_xlpm.input_b,_xlop.use_floor, INDEX(BigInt.DivMod(_xlpm.input_a, _xlpm.input_b, _xlpm.use_floor), 1, 1))</definedName>
    <definedName name="BigInt.DivMod" comment="Divides the first BigInt by the second (A / B). _x000a_Returns the quotient and modulus in rows 1 and 2, respectively._x000a_@param input_a The dividend BigInt string._x000a_@param input_b The divisor BigInt string._x000a_@param [use_floor] Optional boolean. TRUE for Python-styl">_xlfn.LAMBDA(_xlpm.input_a,_xlpm.input_b,_xlop.use_floor, _xlfn.LET(_xlpm.str_norm_a, BigInt.Norm(_xlpm.input_a), _xlpm.str_norm_b, BigInt.Norm(_xlpm.input_b), _xlpm.sign_a, BigInt.Sign(_xlpm.str_norm_a), _xlpm.sign_b, BigInt.Sign(_xlpm.str_norm_b), _xlpm.is_floor_div, IF(_xlfn.ISOMITTED(_xlpm.use_floor), FALSE, _xlpm.use_floor), IF(_xlpm.sign_b = 0, #DIV/0!, IF(_xlpm.sign_a = 0, {"0";"0"}, _xlfn.LET(_xlpm.k, core_BigInt.SafeK("DIV"), _xlpm.limbs_a, core_BigInt.Split(BigInt.Abs(_xlpm.str_norm_a), _xlpm.k), _xlpm.limbs_b, core_BigInt.Split(BigInt.Abs(_xlpm.str_norm_b), _xlpm.k), _xlpm.packed_result, core_BigInt.DivRouter(_xlpm.limbs_a, _xlpm.limbs_b, _xlpm.k), _xlpm.len_remainder, INDEX(_xlpm.packed_result, 1, 1), _xlpm.limbs_remainder, _xlfn.CHOOSEROWS(_xlpm.packed_result, _xlfn.SEQUENCE(_xlpm.len_remainder, 1, 2)), _xlpm.limbs_quotient, _xlfn.DROP(_xlpm.packed_result, _xlpm.len_remainder + 1), _xlpm.final_sign, _xlpm.sign_a * _xlpm.sign_b, _xlpm.str_merged_q, core_BigInt.Merge(_xlpm.limbs_quotient, _xlpm.k), _xlpm.str_merged_r, core_BigInt.Merge(_xlpm.limbs_remainder, _xlpm.k), _xlpm.str_trunc_q, IF(AND(_xlpm.final_sign = -1, _xlpm.str_merged_q &lt;&gt; "0"), "-" &amp; _xlpm.str_merged_q, _xlpm.str_merged_q), _xlpm.str_trunc_r, IF(AND(_xlpm.sign_a = -1, _xlpm.str_merged_r &lt;&gt; "0"), "-" &amp; _xlpm.str_merged_r, _xlpm.str_merged_r), _xlpm.needs_floor_correction, AND(_xlpm.is_floor_div, _xlpm.final_sign = -1, _xlpm.str_merged_r &lt;&gt; "0"), _xlpm.str_final_q, IF(_xlpm.needs_floor_correction, BigInt.Sub(_xlpm.str_trunc_q, "1"), _xlpm.str_trunc_q), _xlpm.str_final_r, IF(_xlpm.needs_floor_correction, BigInt.Add(_xlpm.str_trunc_r, _xlpm.str_norm_b), _xlpm.str_trunc_r), _xlfn.VSTACK(_xlpm.str_final_q, _xlpm.str_final_r))))))</definedName>
    <definedName name="BigInt.Fact" comment="Computes the factorial of a BigInt (n!) using Peter Luschny's Prime Swing algorithm._x000a_@param input The BigInt string. Maximum supported input is 9273.">_xlfn.LAMBDA(_xlpm.input, _xlfn.LET(_xlpm.str_norm, BigInt.Norm(_xlpm.input), _xlpm.sign_n, BigInt.Sign(_xlpm.str_norm), IF(_xlpm.sign_n = -1, #NUM!, IF(_xlpm.str_norm = "0", "1", IF(_xlpm.str_norm = "1", "1", IF(LEN(_xlpm.str_norm) &gt; 4, #NUM!, IF(VALUE(_xlpm.str_norm) &gt; 9273, #NUM!, _xlfn.LET(_xlpm.num_n, VALUE(_xlpm.str_norm), _xlpm.global_primes, core_BigInt.NativePrimes(_xlpm.num_n), core_BigInt.PrimeSwingKernel(_xlpm.num_n, _xlpm.global_primes)))))))))</definedName>
    <definedName name="BigInt.IsEven" comment="Returns TRUE if the BigInt is even._x000a_@param input The BigInt string.">_xlfn.LAMBDA(_xlpm.input, ISEVEN(VALUE(RIGHT(BigInt.Norm(_xlpm.input)))))</definedName>
    <definedName name="BigInt.IsNeg" comment="Returns TRUE if the BigInt is negative._x000a_@param input The BigInt string.">_xlfn.LAMBDA(_xlpm.input, LEFT(BigInt.Norm(_xlpm.input)) = "-")</definedName>
    <definedName name="BigInt.IsOdd" comment="Returns TRUE if the BigInt is odd._x000a_@param input The BigInt string.">_xlfn.LAMBDA(_xlpm.input, ISODD(VALUE(RIGHT(BigInt.Norm(_xlpm.input)))))</definedName>
    <definedName name="BigInt.IsZero" comment="Returns TRUE if the BigInt is exactly zero._x000a_@param input The BigInt string.">_xlfn.LAMBDA(_xlpm.input, BigInt.Norm(_xlpm.input) = "0")</definedName>
    <definedName name="BigInt.Max" comment="Returns the maximum BigInt from an array or range._x000a_@param range A contiguous range or array of BigInt strings.">_xlfn.LAMBDA(_xlpm.range, _xlfn.LET(_xlpm.flattened_col, _xlfn.TOCOL(_xlpm.range, 1), IF(OR(ISERROR(_xlpm.flattened_col), ROWS(_xlpm.flattened_col) = 0), "0", core_BigInt.TreeCompare(_xlfn.MAP(_xlpm.flattened_col, BigInt.Norm), 1))))</definedName>
    <definedName name="BigInt.Min" comment="Returns the minimum BigInt from an array or range._x000a_@param range A contiguous range or array of BigInt strings.">_xlfn.LAMBDA(_xlpm.range, _xlfn.LET(_xlpm.flattened_col, _xlfn.TOCOL(_xlpm.range, 1), IF(OR(ISERROR(_xlpm.flattened_col), ROWS(_xlpm.flattened_col) = 0), "0", core_BigInt.TreeCompare(_xlfn.MAP(_xlpm.flattened_col, BigInt.Norm), -1))))</definedName>
    <definedName name="BigInt.Mod" comment="Computes the remainder of A / B._x000a_@param input_a The dividend BigInt string._x000a_@param input_b The divisor BigInt string._x000a_@param [use_floor] Optional boolean. TRUE for Python-style Modulo. Defaults to FALSE.">_xlfn.LAMBDA(_xlpm.input_a,_xlpm.input_b,_xlop.use_floor, INDEX(BigInt.DivMod(_xlpm.input_a, _xlpm.input_b, _xlpm.use_floor), 2, 1))</definedName>
    <definedName name="BigInt.Mul" comment="Multiplies two BigInt strings._x000a_@param input_a The first BigInt string._x000a_@param input_b The second BigInt string.">_xlfn.LAMBDA(_xlpm.input_a,_xlpm.input_b, _xlfn.LET(_xlpm.str_norm_a, BigInt.Norm(_xlpm.input_a), _xlpm.str_norm_b, BigInt.Norm(_xlpm.input_b), _xlpm.sign_a, BigInt.Sign(_xlpm.str_norm_a), _xlpm.sign_b, BigInt.Sign(_xlpm.str_norm_b), _xlpm.len_a, LEN(_xlpm.str_norm_a) - IF(_xlpm.sign_a = -1, 1, 0), _xlpm.len_b, LEN(_xlpm.str_norm_b) - IF(_xlpm.sign_b = -1, 1, 0), IF(OR(_xlpm.sign_a = 0, _xlpm.sign_b = 0), "0", IF(_xlpm.len_a + _xlpm.len_b &gt; 32766, #NUM!, _xlfn.LET(_xlpm.k, core_BigInt.SafeK("MUL", MIN(_xlpm.len_a, _xlpm.len_b)), _xlpm.limbs_a, core_BigInt.Split(BigInt.Abs(_xlpm.str_norm_a), _xlpm.k), _xlpm.limbs_b, core_BigInt.Split(BigInt.Abs(_xlpm.str_norm_b), _xlpm.k), _xlpm.final_limbs, core_BigInt.UMul(_xlpm.limbs_a, _xlpm.limbs_b, _xlpm.k), _xlpm.final_sign, _xlpm.sign_a * _xlpm.sign_b, _xlpm.str_merged, core_BigInt.Merge(_xlpm.final_limbs, _xlpm.k), IF(_xlpm.final_sign = -1, "-" &amp; _xlpm.str_merged, _xlpm.str_merged))))))</definedName>
    <definedName name="BigInt.Norm" comment="Normalises a BigInt string. Strips leading zeros, resolves &quot;-0&quot; to &quot;0&quot;, and throws #VALUE! on invalid characters._x000a_@param input The BigInt string.">_xlfn.LAMBDA(_xlpm.input, _xlfn.LET(_xlpm.str_input, IF(OR(_xlfn.ISOMITTED(_xlpm.input), _xlpm.input = ""), "0", _xlpm.input &amp; ""), _xlpm.is_value_format, _xlfn.REGEXTEST(_xlpm.str_input, "^-?\d+$"), _xlpm.str_norm, _xlfn.REGEXREPLACE(_xlpm.str_input, "^(-?)0+(?=\d)", "$1"), IF(NOT(_xlpm.is_value_format), VALUE("#VALUE!"), IF(_xlpm.str_norm = "-0", "0", _xlpm.str_norm))))</definedName>
    <definedName name="BigInt.Pow" comment="Raises a BigInt base to the power of a BigInt exponent._x000a_@param base The base BigInt string._x000a_@param exponent The exponent BigInt string.">_xlfn.LAMBDA(_xlpm.base,_xlpm.exponent, _xlfn.LET(_xlpm.str_norm_base, BigInt.Norm(_xlpm.base), _xlpm.str_norm_exp, BigInt.Norm(_xlpm.exponent), _xlpm.sign_base, BigInt.Sign(_xlpm.str_norm_base), _xlpm.sign_exp, BigInt.Sign(_xlpm.str_norm_exp), _xlpm.str_abs_base, BigInt.Abs(_xlpm.str_norm_base), _xlpm.str_abs_exp, BigInt.Abs(_xlpm.str_norm_exp), _xlpm.is_exp_even, ISEVEN(VALUE(RIGHT(_xlpm.str_norm_exp, 1))), _xlpm.final_sign, IF(_xlpm.sign_base = -1, IF(_xlpm.is_exp_even, 1, -1), _xlpm.sign_base), IF(_xlpm.str_abs_base = "0", IF(_xlpm.str_norm_exp = "0", #NUM!, "0"), IF(_xlpm.str_abs_base = "1", IF(_xlpm.final_sign = -1, "-1", "1"), IF(_xlpm.sign_exp = -1, "0", IF(_xlpm.str_norm_exp = "0", "1", IF(LEN(_xlpm.str_norm_exp) &gt; 6, #NUM!, _xlfn.LET(_xlpm.num_exp, VALUE(_xlpm.str_norm_exp), _xlpm.base_log10,LOG10(VALUE(LEFT(_xlpm.str_abs_base, 14))) + MAX(0, LEN(_xlpm.str_abs_base) - 14), _xlpm.approx_digits, _xlpm.num_exp * _xlpm.base_log10, IF(_xlpm.approx_digits &gt; 32766, #NUM!, _xlfn.LET(_xlpm.k, core_BigInt.SafeK("MUL", _xlpm.approx_digits / 2), _xlpm.limbs_base, core_BigInt.Split(_xlpm.str_abs_base, _xlpm.k), _xlpm.limbs_final, core_BigInt.UPow(_xlpm.limbs_base, _xlpm.str_norm_exp, _xlpm.k), _xlpm.str_merged, core_BigInt.Merge(_xlpm.limbs_final, _xlpm.k), IF(_xlpm.final_sign = -1, "-" &amp; _xlpm.str_merged, _xlpm.str_merged)))))))))))</definedName>
    <definedName name="BigInt.RandArray" comment="[VOLATILE] Generates a dynamic array of integers as text._x000a_@param [num_rows] array height, default 1._x000a_@param [num_cols] array width, default 1._x000a_@param [min_digits] minimum number of digits, default 16 (min 1 digit)_x000a_@param [max_digits] maximum number of dig">_xlfn.LAMBDA(_xlop.num_rows,_xlop.num_cols,_xlop.min_digits,_xlop.max_digits, _xlfn.LET(_xlpm.n_rows, IF(_xlfn.ISOMITTED(_xlpm.num_rows), 1, _xlpm.num_rows), _xlpm.n_cols, IF(_xlfn.ISOMITTED(_xlpm.num_cols), 1, _xlpm.num_cols), _xlpm.min_len, IF(_xlfn.ISOMITTED(_xlpm.min_digits), 16, MIN(32767, MAX(1, _xlpm.min_digits))), _xlpm.max_len, IF(_xlfn.ISOMITTED(_xlpm.max_digits), 50, MAX(1, MIN(32766, _xlpm.max_digits))), _xlfn.MAP(_xlfn.RANDARRAY(_xlpm.n_rows, _xlpm.n_cols, _xlpm.min_len, _xlpm.max_len, TRUE), _xlfn.LAMBDA(_xlpm.length, _xlfn.LET(_xlpm.sign_prefix, CHOOSE(RANDBETWEEN(1, 2), "", "-"), _xlpm.rand_digits, _xlfn.CONCAT(_xlfn.RANDARRAY(1, _xlpm.length, 0, 9, TRUE)), _xlpm.sign_prefix &amp; _xlfn.REGEXREPLACE(_xlpm.rand_digits, "^0*", ""))))))</definedName>
    <definedName name="BigInt.Sign" comment="Returns the sign of a BigInt: 1 (positive), -1 (negative), or 0 (zero)._x000a_@param big_int The BigInt string.">_xlfn.LAMBDA(_xlpm.input, _xlfn.LET(_xlpm.str_norm, BigInt.Norm(_xlpm.input), _xlfn.SWITCH(LEFT(_xlpm.str_norm), "0", 0, "-", -1, 1)))</definedName>
    <definedName name="BigInt.Sqrt" comment="Calculates the integer square root (floor) of a BigInt._x000a_@param input The radicand BigInt string.">_xlfn.LAMBDA(_xlpm.input, _xlfn.LET(_xlpm.str_norm, BigInt.Norm(_xlpm.input), _xlpm.sign_n, BigInt.Sign(_xlpm.str_norm), IF(_xlpm.sign_n = -1, #NUM!, IF(_xlpm.str_norm = "0", "0", IF(_xlpm.str_norm = "1", "1", _xlfn.LET(_xlpm.len_norm, LEN(_xlpm.str_norm), _xlpm.num_seed_precision, IF(_xlpm.len_norm &lt;= 14, _xlpm.len_norm, IF(ISEVEN(_xlpm.len_norm), 14, 13)), _xlpm.str_native_precision, LEFT(_xlpm.str_norm, _xlpm.num_seed_precision), _xlpm.num_native_precision, VALUE(_xlpm.str_native_precision), _xlpm.num_magnitude_zeroes, (_xlpm.len_norm - _xlpm.num_seed_precision) / 2, _xlpm.str_prefix, TEXT(ROUNDUP(SQRT(_xlpm.num_native_precision), 0) + 1, "0"), _xlpm.str_seed, _xlpm.str_prefix &amp; REPT("0", _xlpm.num_magnitude_zeroes), _xlpm.k, core_BigInt.SafeK("MUL", _xlpm.len_norm), _xlpm.limbs_radicand, core_BigInt.Split(_xlpm.str_norm, _xlpm.k), _xlpm.limbs_seed, core_BigInt.Split(_xlpm.str_seed, _xlpm.k), _xlpm.limbs_final, core_BigInt.USqrt(_xlpm.limbs_radicand, _xlpm.limbs_seed, _xlpm.k), core_BigInt.Merge(_xlpm.limbs_final, _xlpm.k)))))))</definedName>
    <definedName name="BigInt.Sub" comment="Subtracts the second BigInt string from the first (A - B)._x000a_@param input_a The minuend BigInt string._x000a_@param input_b The subtrahend BigInt string.">_xlfn.LAMBDA(_xlpm.input_a,_xlpm.input_b, _xlfn.LET(_xlpm.str_norm_b, BigInt.Norm(_xlpm.input_b), _xlpm.str_inverse_b, IF(_xlpm.str_norm_b = "0", "0", IF(LEFT(_xlpm.str_norm_b) = "-", MID(_xlpm.str_norm_b, 2, LEN(_xlpm.str_norm_b)), "-" &amp; _xlpm.str_norm_b)), BigInt.Add(_xlpm.input_a, _xlpm.str_inverse_b)))</definedName>
    <definedName name="BigInt.Sum" comment="Sums an array or range of BigInt strings via vectorized group matrices._x000a_@param input_range A contiguous range or array of BigInt strings.">_xlfn.LAMBDA(_xlpm.input_range, _xlfn.LET(_xlpm.flattened_input, _xlfn.TOROW(_xlpm.input_range, 1), IF(OR(ISERROR(_xlpm.flattened_input), COLUMNS(_xlpm.flattened_input) = 0), "0", _xlfn.LET(_xlpm.str_norms, _xlfn.MAP(_xlpm.flattened_input, _xlfn.LAMBDA(_xlpm.x, BigInt.Norm(_xlpm.x))), _xlpm.arr_signs, _xlfn.MAP(LEFT(_xlpm.str_norms), _xlfn.LAMBDA(_xlpm.x, IF(_xlpm.x = "0", 0, IF(_xlpm.x = "-", -1, 1)))), _xlpm.str_abs, _xlfn.MAP(_xlpm.str_norms, _xlpm.arr_signs, _xlfn.LAMBDA(_xlpm.x,_xlpm.sign, IF(_xlpm.sign = -1, MID(_xlpm.x, 2, LEN(_xlpm.x) - 1), _xlpm.x))), _xlpm.str_pos, _xlfn._xlws.FILTER(_xlpm.str_abs, _xlpm.arr_signs = 1, {"0"}), _xlpm.str_negs, _xlfn._xlws.FILTER(_xlpm.str_abs, _xlpm.arr_signs = -1, {"0"}), _xlpm.unified_k, core_BigInt.SafeK("ADD", COLUMNS(_xlpm.flattened_input)), _xlpm.limbs_pos_sum, core_BigInt.UMatrixSum(_xlpm.str_pos, _xlpm.unified_k), _xlpm.limbs_neg_sum, core_BigInt.UMatrixSum(_xlpm.str_negs, _xlpm.unified_k), _xlpm.packed_result, core_BigInt.AddSubRouter(_xlpm.limbs_pos_sum, _xlpm.limbs_neg_sum, 1, -1, _xlpm.unified_k), _xlpm.final_sign, _xlfn.CHOOSEROWS(_xlpm.packed_result, -1), _xlpm.final_limbs, _xlfn.DROP(_xlpm.packed_result, -1), _xlpm.str_merged, core_BigInt.Merge(_xlpm.final_limbs, _xlpm.unified_k), IF(_xlpm.final_sign = -1, "-" &amp; _xlpm.str_merged, _xlpm.str_merged)))))</definedName>
    <definedName name="core_BigInt.AddSubRouter" comment="[Internal] Routes addition/subtraction based on signs and magnitudes._x000a_Returns a tuple array: VSTACK(limbs, final_sign) where the final row is the scalar sign._x000a_@param limbs_a The first little-endian limb array._x000a_@param limbs_b The second little-endian limb ">_xlfn.LAMBDA(_xlpm.limbs_a,_xlpm.limbs_b,_xlpm.sign_a,_xlpm.sign_b,_xlpm.k, _xlfn.LET(_xlpm.is_addition, _xlpm.sign_a = _xlpm.sign_b, IF(_xlpm.is_addition, _xlfn.VSTACK(core_BigInt.UAdd(_xlpm.limbs_a, _xlpm.limbs_b, _xlpm.k), _xlpm.sign_a), _xlfn.LET(_xlpm.magnitude_comparison, core_BigInt.UCompare(_xlpm.limbs_a, _xlpm.limbs_b), IF(_xlpm.magnitude_comparison = 0, {0;0}, IF(_xlpm.magnitude_comparison &gt; 0, _xlfn.VSTACK(core_BigInt.USub(_xlpm.limbs_a, _xlpm.limbs_b, _xlpm.k), _xlpm.sign_a), _xlfn.VSTACK(core_BigInt.USub(_xlpm.limbs_b, _xlpm.limbs_a, _xlpm.k), _xlpm.sign_b)))))))</definedName>
    <definedName name="core_BigInt.Carry" comment="[Internal] Resolves carries right-to-left across a vertical array of base-10^k limbs._x000a_@param limbs The array of numeric limbs._x000a_@param k The limb size.">_xlfn.LAMBDA(_xlpm.limbs,_xlpm.k, _xlfn.LET(_xlpm.num_limbs, ROWS(_xlpm.limbs), _xlpm.radix_base, 10 ^ _xlpm.k, _xlpm.arr_carries, _xlfn.SCAN(0, _xlpm.limbs, _xlfn.LAMBDA(_xlpm.acc,_xlpm.val, _xlpm.val + INT(_xlpm.acc / _xlpm.radix_base))), _xlpm.remainders, MOD(_xlpm.arr_carries, _xlpm.radix_base), _xlpm.final_carry, INT(INDEX(_xlpm.arr_carries, _xlpm.num_limbs, 1) / _xlpm.radix_base), IF(_xlpm.final_carry &gt; 0, _xlfn.VSTACK(_xlpm.remainders, _xlpm.final_carry), _xlpm.remainders)))</definedName>
    <definedName name="core_BigInt.DivRouter" comment=" * [Internal] Hybrid Division Router._x000a_ * Directs division to the optimal kernel based on Dividend length._x000a_ * @param limbs_a The dividend array._x000a_ * @param limbs_b The divisor array._x000a_ * @param k The dynamic chunk size context._x000a_ ">_xlfn.LAMBDA(_xlpm.limbs_a,_xlpm.limbs_b,_xlpm.k, _xlfn.LET(_xlpm.approx_digits_a, ROWS(_xlpm.limbs_a) * _xlpm.k, _xlpm.approx_digits_b, ROWS(_xlpm.limbs_b) * _xlpm.k, _xlpm.regression_slope_m, 0.107821194271297, _xlpm.regression_intercept_c, -221.902189462068, _xlpm.threshold_digits, (_xlpm.regression_slope_m * _xlpm.approx_digits_a) + _xlpm.regression_intercept_c, IF(_xlpm.approx_digits_b &lt;= _xlpm.threshold_digits, core_BigInt.KnuthDiv(_xlpm.limbs_a, _xlpm.limbs_b, _xlpm.k), core_BigInt.NewtonRaphsonDiv(_xlpm.limbs_a, _xlpm.limbs_b, _xlpm.k))))</definedName>
    <definedName name="core_BigInt.FindQuotientLimb" comment=" * [Internal] Binary search to find the highest scalar quotient limb q (0 &lt;= q &lt; 10^k)_x000a_ * such that B * q &lt;= limbs_r. Eliminates the need for Knuth D float-estimation._x000a_ * @param limbs_r The current remainder array._x000a_ * @param b The divisor array._x000a_ * @param">_xlfn.LAMBDA(_xlpm.limbs_r,_xlpm.limbs_b,_xlpm.k, _xlfn.LET(_xlpm.required_bits, _xlfn.CEILING.MATH(LOG(10 ^ _xlpm.k, 2)), _xlpm.powers_of_two, 2 ^ _xlfn.SEQUENCE(_xlpm.required_bits, 1, _xlpm.required_bits - 1, -1), _xlfn.REDUCE(0, _xlpm.powers_of_two, _xlfn.LAMBDA(_xlpm.current_q,_xlpm.current_power, _xlfn.LET(_xlpm.test_q, _xlpm.current_q + _xlpm.current_power, IF(_xlpm.test_q &gt;= 10 ^ _xlpm.k, _xlpm.current_q, _xlfn.LET(_xlpm.limbs_bq, core_BigInt.Carry(_xlpm.limbs_b * _xlpm.test_q, _xlpm.k), _xlpm.magnitude_comparison, core_BigInt.UCompare(_xlpm.limbs_r, _xlpm.limbs_bq), IF(_xlpm.magnitude_comparison &gt;= 0, _xlpm.test_q, _xlpm.current_q))))))))</definedName>
    <definedName name="core_BigInt.KnuthDiv" comment=" * [Internal] Basecase Division via sequential shift-and-subtract._x000a_ * Returns a packed 1D array: VSTACK(Length_R, R_limbs, Q_limbs)._x000a_ * Eliminates 2D array padding to strictly preserve memory efficiency._x000a_ * @param limbs_a The dividend array._x000a_ * @param lim">_xlfn.LAMBDA(_xlpm.limbs_a,_xlpm.limbs_b,_xlpm.k, _xlfn.LET(_xlpm.magnitude_comparison, core_BigInt.UCompare(_xlpm.limbs_a, _xlpm.limbs_b), IF(_xlpm.magnitude_comparison &lt; 0, _xlfn.VSTACK(ROWS(_xlpm.limbs_a), _xlpm.limbs_a, 0), IF(_xlpm.magnitude_comparison = 0, _xlfn.VSTACK(1, 0, 1), _xlfn.LET(_xlpm.num_limbs_a, ROWS(_xlpm.limbs_a), _xlpm.big_endian_a, _xlfn.CHOOSEROWS(_xlpm.limbs_a, _xlfn.SEQUENCE(_xlpm.num_limbs_a, 1, _xlpm.num_limbs_a, -1)), _xlpm.final_packed_state, _xlfn.REDUCE(_xlfn.VSTACK(1, 0, 0), _xlpm.big_endian_a, _xlfn.LAMBDA(_xlpm.packed_state,_xlpm.val, _xlfn.LET(_xlpm.num_limbs_r, INDEX(_xlpm.packed_state, 1, 1), _xlpm.limbs_r, _xlfn.CHOOSEROWS(_xlpm.packed_state, _xlfn.SEQUENCE(_xlpm.num_limbs_r, 1, 2)), _xlpm.limbs_q, _xlfn.DROP(_xlpm.packed_state, _xlpm.num_limbs_r + 1), _xlpm.limbs_shifted_r, IF(AND(ROWS(_xlpm.limbs_r) = 1, INDEX(_xlpm.limbs_r, 1, 1) = 0), _xlpm.val, _xlfn.VSTACK(_xlpm.val, _xlpm.limbs_r)), _xlpm.q_limb, core_BigInt.FindQuotientLimb(_xlpm.limbs_shifted_r, _xlpm.limbs_b, _xlpm.k), _xlpm.limbs_bq, core_BigInt.Carry(_xlpm.limbs_b * _xlpm.q_limb, _xlpm.k), _xlpm.limbs_next_r, core_BigInt.USub(_xlpm.limbs_shifted_r, _xlpm.limbs_bq, _xlpm.k), _xlpm.has_q, OR(ROWS(_xlpm.limbs_q) &gt; 1, INDEX(_xlpm.limbs_q, 1, 1) &gt; 0), _xlpm.limbs_next_q, IF(_xlpm.has_q, _xlfn.VSTACK(_xlpm.limbs_q, _xlpm.q_limb), _xlpm.q_limb), _xlfn.VSTACK(ROWS(_xlpm.limbs_next_r), _xlpm.limbs_next_r, _xlpm.limbs_next_q)))), _xlpm.num_limbs_r, INDEX(_xlpm.final_packed_state, 1, 1), _xlpm.limbs_r, _xlfn.CHOOSEROWS(_xlpm.final_packed_state, _xlfn.SEQUENCE(_xlpm.num_limbs_r, 1, 2)), _xlpm.big_endian_q, _xlfn.DROP(_xlpm.final_packed_state, _xlpm.num_limbs_r + 1), _xlpm.len_q, ROWS(_xlpm.big_endian_q), _xlpm.limbs_q, _xlfn.CHOOSEROWS(_xlpm.big_endian_q, _xlfn.SEQUENCE(_xlpm.len_q, 1, _xlpm.len_q, -1)), _xlfn.VSTACK(_xlpm.num_limbs_r, _xlpm.limbs_r, _xlpm.limbs_q))))))</definedName>
    <definedName name="core_BigInt.Merge" comment="[Internal] Concatenates an array of numeric limbs into a BigInt string, zero-padding all but the first limb._x000a_@param limbs The vertical array of numeric limbs._x000a_@param k The limb size used during calculation.">_xlfn.LAMBDA(_xlpm.limbs,_xlpm.k, _xlfn.LET(_xlpm.num_limbs, ROWS(_xlpm.limbs), _xlpm.rev_limbs, _xlfn.CHOOSEROWS(_xlpm.limbs, _xlfn.SEQUENCE(_xlpm.num_limbs, 1, _xlpm.num_limbs, -1)), IF(_xlpm.num_limbs = 1, _xlpm.rev_limbs &amp; "", _xlfn.CONCAT(_xlfn.VSTACK(_xlfn.TAKE(_xlpm.rev_limbs, 1) &amp; "", TEXT(_xlfn.DROP(_xlpm.rev_limbs, 1), REPT("0", _xlpm.k)))))))</definedName>
    <definedName name="core_BigInt.NativePrimes" comment="[Internal] Generates a 1D vertical array of all prime numbers up to n._x000a_Evaluates purely in native C++ using a dynamic sieve._x000a_@param n The upper bound integer (assumed &lt;= 9273).">_xlfn.LAMBDA(_xlpm.n, IF(_xlpm.n &lt; 2, #NUM!, _xlfn.LET(_xlpm.candidate_sequence, _xlfn.SEQUENCE(_xlpm.n - 1, 1, 2), _xlfn._xlws.FILTER(_xlpm.candidate_sequence, _xlfn.MAP(_xlpm.candidate_sequence, _xlfn.LAMBDA(_xlpm.current_candidate, _xlfn.LET(_xlpm.limit, INT(SQRT(_xlpm.current_candidate)), IF(_xlpm.limit &lt; 2, TRUE, MIN(MOD(_xlpm.current_candidate, _xlfn.SEQUENCE(_xlpm.limit - 1, 1, 2))) &gt; 0))))))))</definedName>
    <definedName name="core_BigInt.NativeSwingExponents" comment="[Internal] Calculates the exponent for an array of primes in the Swing term of a factorial._x000a_@param n The current factorial magnitude (&lt;= 9273)._x000a_@param primes A vertical array of prime numbers (&lt;= n).">_xlfn.LAMBDA(_xlpm.n,_xlpm.primes, _xlfn.MAP(_xlpm.primes, _xlfn.LAMBDA(_xlpm.p, _xlfn.LET(_xlpm.max_power_k, INT(LOG(_xlpm.n, _xlpm.p)), _xlpm.prime_powers, _xlpm.p ^ _xlfn.SEQUENCE(_xlpm.max_power_k), SUM(MOD(INT(_xlpm.n / _xlpm.prime_powers), 2))))))</definedName>
    <definedName name="core_BigInt.NewtonRaphsonDiv" comment="[Internal] Heavyweight Newton-Raphson Division._x000a_Implements progressive scaling bounded to MAX(len_a, len_b)._x000a_@param limbs_a The dividend array._x000a_@param limbs_b The divisor array._x000a_@param k The dynamic chunk size context.">_xlfn.LAMBDA(_xlpm.limbs_a,_xlpm.limbs_b,_xlpm.k, _xlfn.LET(_xlpm.num_limbs_a, ROWS(_xlpm.limbs_a), _xlpm.num_limbs_b, ROWS(_xlpm.limbs_b), _xlpm.num_limbs_target, MAX(_xlpm.num_limbs_a, _xlpm.num_limbs_b), _xlpm.limbs_reciprocal, core_BigInt.NewtonRaphsonReciprocal(_xlpm.limbs_b, _xlpm.num_limbs_target, _xlpm.k), _xlpm.right_shift_limbs, 2 * _xlpm.num_limbs_target, _xlpm.limbs_q_unscaled, core_BigInt.UMul(_xlpm.limbs_a, _xlpm.limbs_reciprocal, _xlpm.k), _xlpm.limbs_q_approx, IF(ROWS(_xlpm.limbs_q_unscaled) &lt;= _xlpm.right_shift_limbs, {0}, _xlfn.DROP(_xlpm.limbs_q_unscaled, _xlpm.right_shift_limbs)), _xlpm.limbs_p_baseline, core_BigInt.UMul(_xlpm.limbs_b, _xlpm.limbs_q_approx, _xlpm.k), _xlpm.initial_packed_state, _xlfn.VSTACK(ROWS(_xlpm.limbs_q_approx), _xlpm.limbs_q_approx, _xlpm.limbs_p_baseline), _xlpm.packed_state_swept_down, _xlfn.REDUCE(_xlpm.initial_packed_state, {1;2}, _xlfn.LAMBDA(_xlpm.packed_state,_xlpm.i, _xlfn.LET(_xlpm.len_q, INDEX(_xlpm.packed_state, 1, 1), _xlpm.limbs_current_q, _xlfn.CHOOSEROWS(_xlpm.packed_state, _xlfn.SEQUENCE(_xlpm.len_q, 1, 2)), _xlpm.limbs_current_p, _xlfn.DROP(_xlpm.packed_state, _xlpm.len_q + 1), IF(core_BigInt.UCompare(_xlpm.limbs_current_p, _xlpm.limbs_a) &lt;= 0, _xlpm.packed_state, _xlfn.LET(_xlpm.limbs_next_q, core_BigInt.USub(_xlpm.limbs_current_q, {1}, _xlpm.k), _xlpm.limbs_next_p, core_BigInt.USub(_xlpm.limbs_current_p, _xlpm.limbs_b, _xlpm.k), _xlfn.VSTACK(ROWS(_xlpm.limbs_next_q), _xlpm.limbs_next_q, _xlpm.limbs_next_p)))))), _xlpm.packed_state_swept_up, _xlfn.REDUCE(_xlpm.packed_state_swept_down, {1;2}, _xlfn.LAMBDA(_xlpm.packed_state,_xlpm.i, _xlfn.LET(_xlpm.len_q, INDEX(_xlpm.packed_state, 1, 1), _xlpm.limbs_current_q, _xlfn.CHOOSEROWS(_xlpm.packed_state, _xlfn.SEQUENCE(_xlpm.len_q, 1, 2)), _xlpm.limbs_current_p, _xlfn.DROP(_xlpm.packed_state, _xlpm.len_q + 1), _xlpm.limbs_next_p_test, core_BigInt.UAdd(_xlpm.limbs_current_p, _xlpm.limbs_b, _xlpm.k), IF(core_BigInt.UCompare(_xlpm.limbs_next_p_test, _xlpm.limbs_a) &gt; 0, _xlpm.packed_state, _xlfn.LET(_xlpm.limbs_next_q, core_BigInt.UAdd(_xlpm.limbs_current_q, {1}, _xlpm.k), _xlfn.VSTACK(ROWS(_xlpm.limbs_next_q), _xlpm.limbs_next_q, _xlpm.limbs_next_p_test)))))), _xlpm.len_q, INDEX(_xlpm.packed_state_swept_up, 1, 1), _xlpm.limbs_q, _xlfn.CHOOSEROWS(_xlpm.packed_state_swept_up, _xlfn.SEQUENCE(_xlpm.len_q, 1, 2)), _xlpm.limbs_p, _xlfn.DROP(_xlpm.packed_state_swept_up, _xlpm.len_q + 1), _xlpm.limbs_r, core_BigInt.USub(_xlpm.limbs_a, _xlpm.limbs_p, _xlpm.k), _xlfn.VSTACK(ROWS(_xlpm.limbs_r), _xlpm.limbs_r, _xlpm.limbs_q)))</definedName>
    <definedName name="core_BigInt.NewtonRaphsonReciprocal" comment="[Internal] Computes the Reciprocal progressively scaling up to the Dividend's precision._x000a_@param limbs_b The divisor limb array._x000a_@param target_len The limb-length of Dividend A._x000a_@param k The dynamic chunk size context.">_xlfn.LAMBDA(_xlpm.limbs_b,_xlpm.target_len,_xlpm.k, _xlfn.LET(_xlpm.num_limbs_b, ROWS(_xlpm.limbs_b), _xlpm.num_seed_limbs, MIN(3, _xlpm.num_limbs_b), _xlpm.limbs_r_seed, core_BigInt.NewtonRaphsonSeed(_xlpm.limbs_b, _xlpm.k), _xlpm.required_iterations, MAX(0, _xlfn.CEILING.MATH(LN(_xlpm.target_len / _xlpm.num_seed_limbs) / LN(2))) + 1, IF(_xlpm.required_iterations = 0, _xlpm.limbs_r_seed, _xlfn.LET(_xlpm.iterations, _xlfn.SEQUENCE(_xlpm.required_iterations), _xlpm.final_packed_state, _xlfn.REDUCE(_xlfn.VSTACK(_xlpm.num_seed_limbs, _xlpm.limbs_r_seed), _xlpm.iterations, _xlfn.LAMBDA(_xlpm.packed_state,_xlpm.i, _xlfn.LET(_xlpm.current_len, INDEX(_xlpm.packed_state, 1, 1), _xlpm.limbs_current_r, _xlfn.DROP(_xlpm.packed_state, 1), _xlpm.next_len, MIN(_xlpm.current_len * 2, _xlpm.target_len), _xlpm.active_b_limbs_current, MIN(_xlpm.current_len, _xlpm.num_limbs_b), _xlpm.active_b_limbs_next, MIN(_xlpm.next_len, _xlpm.num_limbs_b), _xlpm.required_shift_limbs, 2 * (_xlpm.next_len - _xlpm.current_len) - (_xlpm.active_b_limbs_next - _xlpm.active_b_limbs_current), _xlpm.limbs_r_prime, IF(_xlpm.required_shift_limbs &gt; 0, _xlfn.VSTACK(_xlfn.EXPAND(0, _xlpm.required_shift_limbs, , 0), _xlpm.limbs_current_r), _xlpm.limbs_current_r), _xlpm.limbs_b_active, _xlfn.TAKE(_xlpm.limbs_b, -_xlpm.active_b_limbs_next), _xlpm.limbs_p, core_BigInt.UMul(_xlpm.limbs_b_active, _xlpm.limbs_r_prime, _xlpm.k), _xlpm.limbs_two_beta, _xlfn.VSTACK(_xlfn.EXPAND(0, 2 * _xlpm.next_len, , 0), 2), _xlpm.limbs_error_term, core_BigInt.USub(_xlpm.limbs_two_beta, _xlpm.limbs_p, _xlpm.k), _xlpm.limbs_next_r_unscaled, core_BigInt.UMul(_xlpm.limbs_r_prime, _xlpm.limbs_error_term, _xlpm.k), _xlpm.limbs_next_r, IF(ROWS(_xlpm.limbs_next_r_unscaled) &lt;= 2 * _xlpm.next_len, {0}, _xlfn.DROP(_xlpm.limbs_next_r_unscaled, 2 * _xlpm.next_len)), _xlfn.VSTACK(_xlpm.next_len, _xlpm.limbs_next_r)))), _xlfn.DROP(_xlpm.final_packed_state, 1)))))</definedName>
    <definedName name="core_BigInt.NewtonRaphsonSeed" comment="[Internal] Generates the exact reciprocal seed for Newton-Raphson Division using Knuth Basecase._x000a_Extracts up to the top 3 limbs of B and calculates floor(Beta^(2*len) / B_top)._x000a_@param limbs_b The divisor limb array._x000a_@param k The dynamic chunk size context">_xlfn.LAMBDA(_xlpm.limbs_b,_xlpm.k, _xlfn.LET(_xlpm.num_limbs_b, ROWS(_xlpm.limbs_b), _xlpm.num_seed_limbs, MIN(3, _xlpm.num_limbs_b), _xlpm.limbs_b_top, _xlfn.TAKE(_xlpm.limbs_b, -_xlpm.num_seed_limbs), _xlpm.limbs_beta_2m, _xlfn.VSTACK(_xlfn.EXPAND(0, 2 * _xlpm.num_seed_limbs, , 0), 1), _xlpm.packed_basecase_result, core_BigInt.KnuthDiv(_xlpm.limbs_beta_2m, _xlpm.limbs_b_top, _xlpm.k), _xlpm.num_limbs_r, INDEX(_xlpm.packed_basecase_result, 1, 1), _xlfn.DROP(_xlpm.packed_basecase_result, _xlpm.num_limbs_r + 1)))</definedName>
    <definedName name="core_BigInt.PrimeSwingKernel" comment="[Internal] Recursive top-down LAMBDA calculating the Prime Swing factorial._x000a_@param n The current factorial magnitude._x000a_@param global_primes The unified vertical array of all primes up to the target factorial.">_xlfn.LAMBDA(_xlpm.n,_xlpm.global_primes, IF(_xlpm.n &lt; 2, "1", _xlfn.LET(_xlpm.floor_half_n, INT(_xlpm.n / 2), _xlpm.factorial_half_n, core_BigInt.PrimeSwingKernel(_xlpm.floor_half_n, _xlpm.global_primes), _xlpm.squared_half_factorial, core_BigInt.UTextMul(_xlpm.factorial_half_n, _xlpm.factorial_half_n), _xlpm.applicable_tier_primes, _xlfn._xlws.FILTER(_xlpm.global_primes, _xlpm.global_primes &lt;= _xlpm.n), _xlpm.str_swing_term, core_BigInt.SwingTerm(_xlpm.n, _xlpm.applicable_tier_primes), core_BigInt.UTextMul(_xlpm.squared_half_factorial, _xlpm.str_swing_term))))</definedName>
    <definedName name="core_BigInt.SafeK" comment="[Internal] Computes the maximum safe base-10 limb size (k) to avoid IEEE-754 precision loss._x000a_@param operation: &quot;ADD&quot;, &quot;MUL&quot;, or &quot;DIV&quot;._x000a_@param [max_items] ADD: number of operands. MUL: shortest string digits count.">_xlfn.LAMBDA(_xlpm.operation,_xlop.operand_or_digits, _xlfn.LET(_xlpm.resolved_count, IF(OR(_xlpm.operand_or_digits = "", _xlfn.ISOMITTED(_xlpm.operand_or_digits)), 2, MAX(2, _xlpm.operand_or_digits)), _xlfn.SWITCH(_xlpm.operation, "ADD", 15 - LEN(_xlpm.resolved_count), "MUL", _xlfn.LET(_xlpm.test_k, {7;6;5;4;3;2;1}, _xlpm.max_overlap, ROUNDUP(_xlpm.resolved_count / _xlpm.test_k, 0), _xlpm.uncarried_max, _xlpm.max_overlap * (10 ^ _xlpm.test_k - 1) ^ 2, _xlpm.max_carry, INT(_xlpm.uncarried_max / 10 ^ _xlpm.test_k), _xlpm.peak_val, _xlpm.uncarried_max + _xlpm.max_carry, MAX(_xlfn._xlws.FILTER(_xlpm.test_k, _xlpm.peak_val &lt;= (10 ^ 15 - 1)))), "DIV", 7, #NAME?)))</definedName>
    <definedName name="core_BigInt.Split" comment="[Internal] Unified Splitter. Splits both scalars and arrays into Little-Endian limbs._x000a_Uses MAX() to guarantee scalar inputs to the SEQUENCE engine._x000a_@param big_ints The string or array of strings._x000a_@param k The dynamic chunk size context.">_xlfn.LAMBDA(_xlpm.str_norms,_xlpm.k, _xlfn.LET(_xlpm.flattened_norms, _xlfn.TOROW(_xlpm.str_norms), _xlpm.lengths, LEN(_xlpm.flattened_norms), _xlpm.max_len, MAX(_xlpm.lengths), _xlpm.pad_len, ROUNDUP(_xlpm.max_len / _xlpm.k, 0) * _xlpm.k, _xlpm.padded_norms, REPT("0", _xlpm.pad_len - _xlpm.lengths) &amp; _xlpm.flattened_norms, _xlpm.limb_start_indices, _xlfn.SEQUENCE(_xlpm.pad_len / _xlpm.k, 1, _xlpm.pad_len - _xlpm.k + 1, -_xlpm.k), --MID(_xlpm.padded_norms, _xlpm.limb_start_indices, _xlpm.k)))</definedName>
    <definedName name="core_BigInt.SwingTerm" comment="[Internal] Calculates the massive BigInt string for the Swing term of a factorial._x000a_@param n The current factorial magnitude._x000a_@param tier_primes A vertical array of prime numbers (&lt;= n).">_xlfn.LAMBDA(_xlpm.n,_xlpm.tier_primes, _xlfn.LET(_xlpm.swing_exponents, core_BigInt.NativeSwingExponents(_xlpm.n, _xlpm.tier_primes), _xlpm.has_native_exponent, _xlpm.swing_exponents &gt; 0, IF(AND(NOT(_xlpm.has_native_exponent)), "1", _xlfn.LET(_xlpm.active_primes, _xlfn._xlws.FILTER(_xlpm.tier_primes, _xlpm.has_native_exponent), _xlpm.active_exponents, _xlfn._xlws.FILTER(_xlpm.swing_exponents, _xlpm.has_native_exponent), _xlpm.evalutated_prime_powers, _xlfn.MAP(_xlpm.active_primes, _xlpm.active_exponents, _xlfn.LAMBDA(_xlpm.p,_xlpm.e, IF(_xlpm.e = 1, _xlpm.p &amp; "", BigInt.Pow(_xlpm.p &amp; "", _xlpm.e &amp; "")))), core_BigInt.TextTreeProd(_xlpm.evalutated_prime_powers)))))</definedName>
    <definedName name="core_BigInt.TextTreeProd" comment="[Internal] Vectorized logarithmic product of an array of BigInt strings._x000a_Recursively cuts the array in half to bypass REDUCE sequential memory allocations._x000a_@param arr_strings A 1D vertical array of BigInt strings.">_xlfn.LAMBDA(_xlpm.arr_strings, _xlfn.LET(_xlpm.num_elements, ROWS(_xlpm.arr_strings), IF(_xlpm.num_elements = 1, INDEX(_xlpm.arr_strings, 1, 1), _xlfn.LET(_xlpm.paired_strings, _xlfn.WRAPROWS(_xlpm.arr_strings, 2, "1"), _xlpm.reduced_array, _xlfn.BYROW(_xlpm.paired_strings, _xlfn.LAMBDA(_xlpm.row, core_BigInt.UTextMul(INDEX(_xlpm.row, 1, 1), INDEX(_xlpm.row, 1, 2)))), core_BigInt.TextTreeProd(_xlpm.reduced_array)))))</definedName>
    <definedName name="core_BigInt.TreeCompare" comment="[Internal] Recursive tournament tree for Min/Max evaluations._x000a_@param col A 1D vertical array of normalized BigInt strings._x000a_@param mode 1 for Maximum, -1 for Minimum.">_xlfn.LAMBDA(_xlpm.str_norms,_xlpm.comparison_mode, _xlfn.LET(_xlpm.num_rows, ROWS(_xlpm.str_norms), IF(_xlpm.num_rows = 1, INDEX(_xlpm.str_norms, 1, 1), _xlfn.LET(_xlpm.tournament_pairs, _xlfn.WRAPROWS(_xlpm.str_norms, 2), _xlpm.competitors_a, _xlfn.TAKE(_xlpm.tournament_pairs, , 1), _xlpm.competitors_b, _xlfn.TAKE(_xlpm.tournament_pairs, , -1), _xlpm.round_winners, _xlfn.MAP(_xlpm.competitors_a, _xlpm.competitors_b, _xlfn.LAMBDA(_xlpm.a,_xlpm.b, IF(ISNA(_xlpm.b), _xlpm.a, _xlfn.LET(_xlpm.comparison_result, BigInt.Compare(_xlpm.a, _xlpm.b), IF(_xlpm.comparison_result * _xlpm.comparison_mode &gt;= 0, _xlpm.a, _xlpm.b))))), core_BigInt.TreeCompare(_xlpm.round_winners, _xlpm.comparison_mode)))))</definedName>
    <definedName name="core_BigInt.UAdd" comment="[Internal] Unsigned addition of two Little-Endian limb arrays._x000a_@param limbs_a The first limb array._x000a_@param limbs_b The second limb array._x000a_@param k The dynamic chunk size context.">_xlfn.LAMBDA(_xlpm.a,_xlpm.b,_xlpm.k, _xlfn.LET(_xlpm.max_rows, MAX(ROWS(_xlpm.a), ROWS(_xlpm.b)), _xlpm.limbs_a_aligned, _xlfn.EXPAND(_xlpm.a, _xlpm.max_rows, 1, 0), _xlpm.limbs_b_aligned, _xlfn.EXPAND(_xlpm.b, _xlpm.max_rows, 1, 0), core_BigInt.Carry(_xlpm.limbs_a_aligned + _xlpm.limbs_b_aligned, _xlpm.k)))</definedName>
    <definedName name="core_BigInt.UCompare" comment="[Internal] Unsigned comparison of two Little-Endian limb arrays._x000a_Returns 1 (a &gt; b), -1 (a &lt; b), or 0 (a = b)._x000a_@param limbs_a The first limb array._x000a_@param limbs_b The second limb array.">_xlfn.LAMBDA(_xlpm.limbs_a,_xlpm.limbs_b, _xlfn.LET(_xlpm.max_rows, MAX(ROWS(_xlpm.limbs_a), ROWS(_xlpm.limbs_b)), _xlpm.limbs_a_aligned, _xlfn.EXPAND(_xlpm.limbs_a, _xlpm.max_rows, 1, 0), _xlpm.limbs_b_aligned, _xlfn.EXPAND(_xlpm.limbs_b, _xlpm.max_rows, 1, 0), _xlpm.differences, _xlpm.limbs_a_aligned - _xlpm.limbs_b_aligned, _xlpm.highest_non_zero_index, _xlfn.XMATCH(TRUE, _xlpm.differences &lt;&gt; 0, 0, -1), IF(ISNA(_xlpm.highest_non_zero_index), 0, SIGN(INDEX(_xlpm.differences, _xlpm.highest_non_zero_index, 1)))))</definedName>
    <definedName name="core_BigInt.UMatrixSum" comment="[Internal] Vectorized matrix sum of unsigned BigInt strings._x000a_@param str_norms Horizontal array (1xN) of normalized magnitude strings._x000a_@param k The unified dynamic chunk size context.">_xlfn.LAMBDA(_xlpm.str_norms,_xlpm.k, _xlfn.LET(_xlpm.grid, core_BigInt.Split(_xlpm.str_norms, _xlpm.k), _xlpm.raw_limbs, _xlfn.BYROW(_xlpm.grid, _xleta.SUM), core_BigInt.Carry(_xlpm.raw_limbs, _xlpm.k)))</definedName>
    <definedName name="core_BigInt.UMul" comment="[Internal] Unsigned multiplication of two Little-Endian limb arrays._x000a_Utilizes a 1D Discrete Convolution (Cauchy Product) array-slicing strategy._x000a_Zero dynamic memory reallocation. $O(N+M)$ memory footprint._x000a_@param limbs_a The multiplicand limb array._x000a_@para">_xlfn.LAMBDA(_xlpm.limbs_a,_xlpm.limbs_b,_xlpm.k, _xlfn.LET(_xlpm.num_limbs_a, ROWS(_xlpm.limbs_a), _xlpm.num_limbs_b, ROWS(_xlpm.limbs_b), _xlpm.convolution_length, _xlpm.num_limbs_a + _xlpm.num_limbs_b - 1, _xlpm.raw_convolution, _xlfn.MAKEARRAY(_xlpm.convolution_length, 1, _xlfn.LAMBDA(_xlpm.r,_xlpm.c, _xlfn.LET(_xlpm.window_start_i, MAX(1, _xlpm.r - _xlpm.num_limbs_b + 1), _xlpm.window_end_i, MIN(_xlpm.r, _xlpm.num_limbs_a), _xlpm.overlap_rows, _xlpm.window_end_i - _xlpm.window_start_i + 1, _xlpm.seq_i, _xlfn.SEQUENCE(_xlpm.overlap_rows, 1, _xlpm.window_start_i, 1), _xlpm.seq_j, _xlfn.SEQUENCE(_xlpm.overlap_rows, 1, _xlpm.r - _xlpm.window_start_i + 1, -1), SUM(INDEX(_xlpm.limbs_a, _xlpm.seq_i, 1) * INDEX(_xlpm.limbs_b, _xlpm.seq_j, 1))))), core_BigInt.Carry(_xlpm.raw_convolution, _xlpm.k)))</definedName>
    <definedName name="core_BigInt.UPow" comment="[Internal] Unsigned Base-10 Left-to-Right Exponentiation._x000a_Evaluates the exponent iteratively using a pre-computed 1-9 cache._x000a_@param limbs_base The little-endian limb array of the base._x000a_@param exp_string The exact text string of the exponent._x000a_@param k The ">_xlfn.LAMBDA(_xlpm.limbs_base,_xlpm.exponent_string,_xlpm.k, _xlfn.LET(_xlpm.limbs_base1, _xlpm.limbs_base, _xlpm.limbs_base2, core_BigInt.UMul(_xlpm.limbs_base1, _xlpm.limbs_base1, _xlpm.k), _xlpm.limbs_base3, core_BigInt.UMul(_xlpm.limbs_base2, _xlpm.limbs_base1, _xlpm.k), _xlpm.limbs_base4, core_BigInt.UMul(_xlpm.limbs_base2, _xlpm.limbs_base2, _xlpm.k), _xlpm.limbs_base5, core_BigInt.UMul(_xlpm.limbs_base4, _xlpm.limbs_base1, _xlpm.k), _xlpm.limbs_base6, core_BigInt.UMul(_xlpm.limbs_base3, _xlpm.limbs_base3, _xlpm.k), _xlpm.limbs_base7, core_BigInt.UMul(_xlpm.limbs_base6, _xlpm.limbs_base1, _xlpm.k), _xlpm.limbs_base8, core_BigInt.UMul(_xlpm.limbs_base4, _xlpm.limbs_base4, _xlpm.k), _xlpm.limbs_base9, core_BigInt.UMul(_xlpm.limbs_base8, _xlpm.limbs_base1, _xlpm.k), _xlpm.exponent_digits, --MID(_xlpm.exponent_string, _xlfn.SEQUENCE(LEN(_xlpm.exponent_string)), 1), _xlfn.REDUCE(1, _xlpm.exponent_digits, _xlfn.LAMBDA(_xlpm.limbs_accumulator,_xlpm.current_digit, _xlfn.LET(_xlpm.is_one, AND(ROWS(_xlpm.limbs_accumulator) = 1, INDEX(_xlpm.limbs_accumulator, 1, 1) = 1), _xlpm.limbs_acc_10, IF(_xlpm.is_one, _xlpm.limbs_accumulator, _xlfn.LET(_xlpm.limbs_acc_2, core_BigInt.UMul(_xlpm.limbs_accumulator, _xlpm.limbs_accumulator, _xlpm.k), _xlpm.limbs_acc_4, core_BigInt.UMul(_xlpm.limbs_acc_2, _xlpm.limbs_acc_2, _xlpm.k), _xlpm.limbs_acc_8, core_BigInt.UMul(_xlpm.limbs_acc_4, _xlpm.limbs_acc_4, _xlpm.k), core_BigInt.UMul(_xlpm.limbs_acc_8, _xlpm.limbs_acc_2, _xlpm.k))), IF(_xlpm.current_digit = 0, _xlpm.limbs_acc_10, _xlfn.LET(_xlpm.limbs_cache_multiplier, CHOOSE(_xlpm.current_digit, _xlpm.limbs_base1, _xlpm.limbs_base2, _xlpm.limbs_base3, _xlpm.limbs_base4, _xlpm.limbs_base5, _xlpm.limbs_base6, _xlpm.limbs_base7, _xlpm.limbs_base8, _xlpm.limbs_base9), IF(_xlpm.is_one, _xlpm.limbs_cache_multiplier, core_BigInt.UMul(_xlpm.limbs_acc_10, _xlpm.limbs_cache_multiplier, _xlpm.k)))))))))</definedName>
    <definedName name="core_BigInt.USqrt" comment="[Internal] Unsigned Integer Square Root using Newton's Method._x000a_@param limbs_radicand._x000a_@param limbs_initial_x Over-estimated seed array._x000a_@param k The dynamic chunk size context.">_xlfn.LAMBDA(_xlpm.limbs_radicand,_xlpm.limbs_initial_x,_xlpm.k, _xlfn.LET(_xlpm.maximum_iterations, 35, _xlpm.final_packed_state, _xlfn.REDUCE(_xlfn.VSTACK(0, _xlpm.limbs_initial_x), _xlfn.SEQUENCE(_xlpm.maximum_iterations), _xlfn.LAMBDA(_xlpm.packed_state,_xlpm.i, _xlfn.LET(_xlpm.has_converged, INDEX(_xlpm.packed_state, 1, 1), _xlpm.limbs_current_x, _xlfn.DROP(_xlpm.packed_state, 1), IF(_xlpm.has_converged, _xlpm.packed_state, _xlfn.LET(_xlpm.packed_division_result, core_BigInt.DivRouter(_xlpm.limbs_radicand, _xlpm.limbs_current_x, _xlpm.k), _xlpm.num_limbs_r, INDEX(_xlpm.packed_division_result, 1, 1), _xlpm.limbs_q, _xlfn.DROP(_xlpm.packed_division_result, _xlpm.num_limbs_r + 1), _xlpm.limbs_sum_xq, core_BigInt.UAdd(_xlpm.limbs_current_x, _xlpm.limbs_q, _xlpm.k), _xlpm.packed_half_result, core_BigInt.KnuthDiv(_xlpm.limbs_sum_xq, {2}, _xlpm.k), _xlpm.num_limbs_halfed, INDEX(_xlpm.packed_half_result, 1, 1), _xlpm.limbs_next_x, _xlfn.DROP(_xlpm.packed_half_result, _xlpm.num_limbs_halfed + 1), _xlpm.convergence_comparison, core_BigInt.UCompare(_xlpm.limbs_next_x, _xlpm.limbs_current_x), IF(_xlpm.convergence_comparison &gt;= 0, _xlfn.VSTACK(1, _xlpm.limbs_current_x), _xlfn.VSTACK(0, _xlpm.limbs_next_x))))))), _xlfn.DROP(_xlpm.final_packed_state, 1)))</definedName>
    <definedName name="core_BigInt.USub" comment="[Internal] Unsigned subtraction of two Little-Endian limb arrays._x000a_Assumes magnitudes A &gt;= B. Resolves borrows top-to-bottom and trims trailing zeros._x000a_@param limbs_a The minuend limb array (must be &gt;= limbs_b)._x000a_@param limbs_b The subtrahend limb array._x000a_@pa">_xlfn.LAMBDA(_xlpm.limbs_a,_xlpm.limbs_b,_xlpm.k, _xlfn.LET(_xlpm.max_rows, MAX(ROWS(_xlpm.limbs_a), ROWS(_xlpm.limbs_b)), _xlpm.limbs_a_aligned, _xlfn.EXPAND(_xlpm.limbs_a, _xlpm.max_rows, 1, 0), _xlpm.limbs_b_aligned, _xlfn.EXPAND(_xlpm.limbs_b, _xlpm.max_rows, 1, 0), _xlpm.differences, _xlpm.limbs_a_aligned - _xlpm.limbs_b_aligned, _xlpm.carried_differences, core_BigInt.Carry(_xlpm.differences, _xlpm.k), _xlpm.highest_non_zero_index, _xlfn.XMATCH(TRUE, _xlpm.carried_differences &lt;&gt; 0, 0, -1), IF(ISNA(_xlpm.highest_non_zero_index), {0}, _xlfn.TAKE(_xlpm.carried_differences, _xlpm.highest_non_zero_index))))</definedName>
    <definedName name="core_BigInt.UTextMul" comment="[Internal] Unsafe, high-performance text multiplication for normalised, positive BigInt strings._x000a_Bypasses Layer 0 validation. Implements strict short-circuits for padding optimization._x000a_@param norm_a_x000a_@param norm_b">_xlfn.LAMBDA(_xlpm.norm_a,_xlpm.norm_b, IF(OR(_xlpm.norm_a = "0", _xlpm.norm_b = "0"), "0", IF(_xlpm.norm_a = "1", _xlpm.norm_b, IF(_xlpm.norm_b = "1", _xlpm.norm_a, _xlfn.LET(_xlpm.len_a, LEN(_xlpm.norm_a), _xlpm.len_b, LEN(_xlpm.norm_b), _xlpm.k, core_BigInt.SafeK("MUL", MIN(_xlpm.len_a, _xlpm.len_b)), _xlpm.limbs_a, core_BigInt.Split(_xlpm.norm_a, _xlpm.k), _xlpm.limbs_b, core_BigInt.Split(_xlpm.norm_b, _xlpm.k), _xlpm.final_limbs, core_BigInt.UMul(_xlpm.limbs_a, _xlpm.limbs_b, _xlpm.k), core_BigInt.Merge(_xlpm.final_limbs, _xlpm.k))))))</definedName>
    <definedName name="test_BigInt.AsymmetricABGrid">_xlfn.LAMBDA(_xlpm.start_a,_xlpm.max_a,_xlpm.step_a,_xlpm.start_b,_xlpm.max_b,_xlpm.step_b, _xlfn.LET(_xlpm.seq_a, _xlfn.SEQUENCE((_xlpm.max_a - _xlpm.start_a) / _xlpm.step_a + 1, 1, _xlpm.start_a, _xlpm.step_a), _xlpm.seq_b, _xlfn.SEQUENCE((_xlpm.max_b - _xlpm.start_b) / _xlpm.step_b + 1, 1, _xlpm.start_b, _xlpm.step_b), _xlpm.n_a, ROWS(_xlpm.seq_a), _xlpm.n_b, ROWS(_xlpm.seq_b), _xlpm.col_a, _xlfn.TOCOL(IF(_xlfn.SEQUENCE(1, _xlpm.n_b), _xlpm.seq_a)), _xlpm.col_b, _xlfn.TOCOL(IF(_xlfn.SEQUENCE(_xlpm.n_a), _xlfn.TOROW(_xlpm.seq_b))), _xlfn.HSTACK(_xlpm.col_a, _xlpm.col_b)))</definedName>
    <definedName name="test_BigInt.DivisionAlgorithmComparison" comment="Executes a strictly sequential benchmark suite to avoid multi-threading contamination._x000a_@param test_cases An N x 2 array of test lengths: [Length_A, Length_B]_x000a_@param iters Number of iterations per benchmark to smooth NOW() resolution.">_xlfn.LAMBDA(_xlpm.test_cases,_xlpm.iters,_xlpm.repeats, _xlfn.LET(_xlpm.n_tests, ROWS(_xlpm.test_cases), _xlpm.initial, {"Len_A","Len_B","Knuth_ms","NR_ms"}, _xlfn.REDUCE(_xlpm.initial, _xlfn.SEQUENCE(_xlpm.n_tests), _xlfn.LAMBDA(_xlpm.acc,_xlpm.i, _xlfn.LET(_xlpm.len_a, INDEX(_xlpm.test_cases, _xlpm.i, 1), _xlpm.len_b, INDEX(_xlpm.test_cases, _xlpm.i, 2), IF(_xlpm.len_b &gt; _xlpm.len_a, _xlpm.acc, _xlfn.LET(_xlpm.str_a, REPT("9", _xlpm.len_a), _xlpm.str_b, IF(_xlpm.len_b = 1, "7", "7" &amp; REPT("3", _xlpm.len_b - 1)), _xlpm.time_k, test_BigInt.DivisionAlgorithms(_xlpm.str_a, _xlpm.str_b, "KNUTH", _xlpm.iters, _xlpm.repeats), _xlpm.time_nr, test_BigInt.DivisionAlgorithms(_xlpm.str_a, _xlpm.str_b, "NR", _xlpm.iters, _xlpm.repeats), _xlfn.VSTACK(_xlpm.acc, _xlfn.HSTACK(_xlpm.len_a, _xlpm.len_b, _xlpm.time_k, _xlpm.time_nr)))))))))</definedName>
    <definedName name="test_BigInt.DivisionAlgorithms" comment="@param a The dividend string_x000a_@param b The divisor string_x000a_@param mode &quot;KNUTH&quot; or &quot;NR&quot;_x000a_@param iters Inner loop count (to defeat chunky clock resolution)_x000a_@param repeats Outer loop count (to defeat OS/Garbage Collection noise)">_xlfn.LAMBDA(_xlpm.a,_xlpm.b,_xlpm.mode,_xlpm.iters,_xlpm.repeats, _xlfn.LET(_xlpm.batch_times, _xlfn.MAP(_xlfn.SEQUENCE(_xlpm.repeats), _xlfn.LAMBDA(_xlpm.r, _xlfn.LET(_xlpm.start, NOW(), _xlpm.run, IF(_xlpm.mode = "KNUTH", _xlfn.MAP(_xlfn.SEQUENCE(_xlpm.iters), _xlfn.LAMBDA(_xlpm.i, test_BigInt.KnuthDivision(_xlpm.a, _xlpm.b))), _xlfn.MAP(_xlfn.SEQUENCE(_xlpm.iters), _xlfn.LAMBDA(_xlpm.i, test_BigInt.NewtonRaphsonDivision(_xlpm.a, _xlpm.b)))), _xlpm.stop, NOW() + (0 * LEN(INDEX(_xlpm.run, 1, 1))), (_xlpm.stop - _xlpm.start) * 86400000))), MIN(_xlpm.batch_times) / _xlpm.iters))</definedName>
    <definedName name="test_BigInt.DivisionBenchmarkCases">_xlfn.LAMBDA(_xlpm.start_len,_xlpm.max_len,_xlpm.step, _xlfn.LET(_xlpm.seq, _xlfn.SEQUENCE((_xlpm.max_len - _xlpm.start_len) / _xlpm.step + 1, 1, _xlpm.start_len, _xlpm.step), _xlpm.n, ROWS(_xlpm.seq), _xlpm.col_a, _xlfn.TOCOL(IF(_xlfn.SEQUENCE(1, _xlpm.n), _xlpm.seq)), _xlpm.col_b, _xlfn.TOCOL(IF(_xlfn.SEQUENCE(_xlpm.n, 1), _xlfn.TOROW(_xlpm.seq))), _xlfn.HSTACK(_xlpm.col_a, _xlpm.col_b)))</definedName>
    <definedName name="test_BigInt.FactorialAlgorithms">_xlfn.LAMBDA(_xlpm.input,_xlpm.mode,_xlpm.iters,_xlpm.repeats, _xlfn.LET(_xlpm.batch_times, _xlfn.MAP(_xlfn.SEQUENCE(_xlpm.repeats), _xlfn.LAMBDA(_xlpm.r, _xlfn.LET(_xlpm.start, NOW(), _xlpm.run, IF(_xlpm.mode = "Legendre", _xlfn.MAP(_xlfn.SEQUENCE(_xlpm.iters), _xlfn.LAMBDA(_xlpm.i, BigInt.Fact(_xlpm.input))), _xlfn.MAP(_xlfn.SEQUENCE(_xlpm.iters), _xlfn.LAMBDA(_xlpm.i, BigInt.FactSwing(_xlpm.input)))), _xlpm.stop, NOW() + (0 * LEN(INDEX(_xlpm.run, 1, 1))), (_xlpm.stop - _xlpm.start) * 86400000))), MIN(_xlpm.batch_times) / _xlpm.iters))</definedName>
    <definedName name="test_BigInt.FactorialComparison" comment="Executes a strictly sequential benchmark suite to avoid multi-threading contamination._x000a_@param test_cases An N x 1 array of test inputs_x000a_@param iters Number of iterations per sample to smooth NOW() resolution._x000a_@param repeats Number of iterations per benchma">_xlfn.LAMBDA(_xlpm.test_cases,_xlpm.iters,_xlpm.repeats, _xlfn.LET(_xlpm.n_tests, ROWS(_xlpm.test_cases), _xlpm.initial, {"N","Legendre","Swing"}, _xlfn.REDUCE(_xlpm.initial, _xlfn.SEQUENCE(_xlpm.n_tests), _xlfn.LAMBDA(_xlpm.acc,_xlpm.i, _xlfn.LET(_xlpm.input, INDEX(_xlpm.test_cases, _xlpm.i, 1), _xlpm.time_legendre, test_BigInt.FactorialAlgorithms(_xlpm.input, "Legendre", _xlpm.iters, _xlpm.repeats), _xlpm.time_swing, test_BigInt.FactorialAlgorithms(_xlpm.input, "Swing", _xlpm.iters, _xlpm.repeats), _xlfn.VSTACK(_xlpm.acc, _xlfn.HSTACK(_xlpm.input, _xlpm.time_legendre, _xlpm.time_swing)))))))</definedName>
    <definedName name="test_BigInt.KnuthDivision">_xlfn.LAMBDA(_xlpm.a,_xlpm.b, _xlfn.LET(_xlpm.k, core_BigInt.SafeK("DIV"), _xlpm.packed, core_BigInt.KnuthDiv(core_BigInt.Split(_xlpm.a, _xlpm.k), core_BigInt.Split(_xlpm.b, _xlpm.k), _xlpm.k), core_BigInt.Merge(_xlfn.DROP(_xlpm.packed, INDEX(_xlpm.packed, 1, 1) + 1), _xlpm.k)))</definedName>
    <definedName name="test_BigInt.NewtonRaphsonDivision">_xlfn.LAMBDA(_xlpm.a,_xlpm.b, _xlfn.LET(_xlpm.k, core_BigInt.SafeK("DIV"), _xlpm.packed, core_BigInt.NewtonRaphsonDiv(core_BigInt.Split(_xlpm.a, _xlpm.k), core_BigInt.Split(_xlpm.b, _xlpm.k), _xlpm.k), core_BigInt.Merge(_xlfn.DROP(_xlpm.packed, INDEX(_xlpm.packed, 1, 1) + 1), _xlpm.k)))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437" i="1" l="1" a="1"/>
  <c r="C438" i="1" a="1"/>
  <c r="C439" i="1" a="1"/>
  <c r="C440" i="1" a="1"/>
  <c r="C441" i="1" a="1"/>
  <c r="C429" i="1" a="1"/>
  <c r="C430" i="1" a="1"/>
  <c r="C431" i="1" a="1"/>
  <c r="C432" i="1" a="1"/>
  <c r="C433" i="1" a="1"/>
  <c r="C418" i="1" a="1"/>
  <c r="C419" i="1" a="1"/>
  <c r="C420" i="1" a="1"/>
  <c r="C421" i="1" a="1"/>
  <c r="C422" i="1" a="1"/>
  <c r="C423" i="1" a="1"/>
  <c r="C424" i="1" a="1"/>
  <c r="C412" i="1" a="1"/>
  <c r="C413" i="1" a="1"/>
  <c r="C406" i="1" a="1"/>
  <c r="C407" i="1" a="1"/>
  <c r="B465" i="1" a="1"/>
  <c r="B466" i="1" a="1"/>
  <c r="C395" i="1" a="1"/>
  <c r="C396" i="1" a="1"/>
  <c r="C397" i="1" a="1"/>
  <c r="C398" i="1" a="1"/>
  <c r="C399" i="1" a="1"/>
  <c r="C400" i="1" a="1"/>
  <c r="C401" i="1" a="1"/>
  <c r="C378" i="1" a="1"/>
  <c r="C379" i="1" a="1"/>
  <c r="C380" i="1" a="1"/>
  <c r="C381" i="1" a="1"/>
  <c r="C382" i="1" a="1"/>
  <c r="C387" i="1" a="1"/>
  <c r="C388" i="1" a="1"/>
  <c r="C389" i="1" a="1"/>
  <c r="C390" i="1" a="1"/>
  <c r="B373" i="1"/>
  <c r="B372" i="1"/>
  <c r="C369" i="1"/>
  <c r="C370" i="1"/>
  <c r="C371" i="1"/>
  <c r="C372" i="1"/>
  <c r="C373" i="1"/>
  <c r="C360" i="1" a="1"/>
  <c r="C361" i="1" a="1"/>
  <c r="C362" i="1" a="1"/>
  <c r="C363" i="1" a="1"/>
  <c r="C364" i="1" a="1"/>
  <c r="C330" i="1" a="1"/>
  <c r="C352" i="1" a="1"/>
  <c r="C353" i="1" a="1"/>
  <c r="C354" i="1" a="1"/>
  <c r="C355" i="1" a="1"/>
  <c r="C347" i="1" a="1"/>
  <c r="C345" i="1" a="1"/>
  <c r="C346" i="1" a="1"/>
  <c r="B3" i="1" a="1"/>
  <c r="C334" i="1" a="1"/>
  <c r="C317" i="1" a="1"/>
  <c r="C318" i="1" a="1"/>
  <c r="C319" i="1" a="1"/>
  <c r="C320" i="1" a="1"/>
  <c r="C321" i="1" a="1"/>
  <c r="C322" i="1" a="1"/>
  <c r="C323" i="1" a="1"/>
  <c r="C265" i="1"/>
  <c r="C328" i="1" a="1"/>
  <c r="C329" i="1" a="1"/>
  <c r="C331" i="1" a="1"/>
  <c r="C332" i="1" a="1"/>
  <c r="C333" i="1" a="1"/>
  <c r="C335" i="1" a="1"/>
  <c r="C336" i="1" a="1"/>
  <c r="C337" i="1" a="1"/>
  <c r="C338" i="1" a="1"/>
  <c r="C339" i="1" a="1"/>
  <c r="C340" i="1" a="1"/>
  <c r="C215" i="1" a="1"/>
  <c r="C305" i="1" a="1"/>
  <c r="C306" i="1" a="1"/>
  <c r="C307" i="1" a="1"/>
  <c r="C308" i="1" a="1"/>
  <c r="C309" i="1" a="1"/>
  <c r="C310" i="1" a="1"/>
  <c r="C311" i="1" a="1"/>
  <c r="C312" i="1" a="1"/>
  <c r="C299" i="1" a="1"/>
  <c r="C293" i="1" a="1"/>
  <c r="C294" i="1" a="1"/>
  <c r="C295" i="1" a="1"/>
  <c r="C296" i="1" a="1"/>
  <c r="C297" i="1" a="1"/>
  <c r="C298" i="1" a="1"/>
  <c r="C300" i="1" a="1"/>
  <c r="E5" i="6" a="1"/>
  <c r="B11" i="5"/>
  <c r="B10" i="5"/>
  <c r="C86" i="1" a="1"/>
  <c r="C87" i="1" a="1"/>
  <c r="C88" i="1" a="1"/>
  <c r="C89" i="1" a="1"/>
  <c r="C90" i="1" a="1"/>
  <c r="C91" i="1" a="1"/>
  <c r="C92" i="1" a="1"/>
  <c r="C93" i="1" a="1"/>
  <c r="C219" i="1" a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0" i="1" a="1"/>
  <c r="C259" i="1" a="1"/>
  <c r="C258" i="1" a="1"/>
  <c r="C257" i="1" a="1"/>
  <c r="C256" i="1" a="1"/>
  <c r="C255" i="1" a="1"/>
  <c r="C254" i="1" a="1"/>
  <c r="C253" i="1" a="1"/>
  <c r="C252" i="1" a="1"/>
  <c r="C251" i="1" a="1"/>
  <c r="C246" i="1" a="1"/>
  <c r="C245" i="1" a="1"/>
  <c r="C244" i="1" a="1"/>
  <c r="C243" i="1" a="1"/>
  <c r="C242" i="1" a="1"/>
  <c r="C241" i="1" a="1"/>
  <c r="C240" i="1" a="1"/>
  <c r="C239" i="1" a="1"/>
  <c r="C238" i="1" a="1"/>
  <c r="C237" i="1" a="1"/>
  <c r="C220" i="1" a="1"/>
  <c r="C218" i="1" a="1"/>
  <c r="C217" i="1" a="1"/>
  <c r="C216" i="1" a="1"/>
  <c r="C201" i="1" a="1"/>
  <c r="C200" i="1" a="1"/>
  <c r="C199" i="1" a="1"/>
  <c r="C198" i="1" a="1"/>
  <c r="C197" i="1" a="1"/>
  <c r="C196" i="1" a="1"/>
  <c r="C195" i="1" a="1"/>
  <c r="C175" i="1" a="1"/>
  <c r="C174" i="1" a="1"/>
  <c r="C173" i="1" a="1"/>
  <c r="C168" i="1" a="1"/>
  <c r="C167" i="1" a="1"/>
  <c r="C166" i="1" a="1"/>
  <c r="C165" i="1" a="1"/>
  <c r="C164" i="1" a="1"/>
  <c r="C103" i="1" a="1"/>
  <c r="C102" i="1" a="1"/>
  <c r="C101" i="1" a="1"/>
  <c r="C100" i="1" a="1"/>
  <c r="C99" i="1" a="1"/>
  <c r="C98" i="1" a="1"/>
  <c r="C81" i="1" a="1"/>
  <c r="C80" i="1" a="1"/>
  <c r="C79" i="1" a="1"/>
  <c r="C78" i="1" a="1"/>
  <c r="C77" i="1" a="1"/>
  <c r="C76" i="1" a="1"/>
  <c r="C75" i="1" a="1"/>
  <c r="C70" i="1" a="1"/>
  <c r="C69" i="1" a="1"/>
  <c r="C68" i="1" a="1"/>
  <c r="C67" i="1" a="1"/>
  <c r="C66" i="1" a="1"/>
  <c r="C65" i="1" a="1"/>
  <c r="C64" i="1" a="1"/>
  <c r="C59" i="1" a="1"/>
  <c r="C58" i="1" a="1"/>
  <c r="C57" i="1" a="1"/>
  <c r="C56" i="1" a="1"/>
  <c r="C55" i="1" a="1"/>
  <c r="C54" i="1" a="1"/>
  <c r="C53" i="1" a="1"/>
  <c r="C52" i="1" a="1"/>
  <c r="C51" i="1" a="1"/>
  <c r="C50" i="1" a="1"/>
  <c r="C25" i="1" a="1"/>
  <c r="C24" i="1" a="1"/>
  <c r="C23" i="1" a="1"/>
  <c r="C22" i="1" a="1"/>
  <c r="C21" i="1" a="1"/>
  <c r="C20" i="1" a="1"/>
  <c r="C19" i="1" a="1"/>
  <c r="C18" i="1" a="1"/>
  <c r="C17" i="1" a="1"/>
  <c r="C15" i="1" a="1"/>
  <c r="C14" i="1" a="1"/>
  <c r="C13" i="1" a="1"/>
  <c r="C12" i="1" a="1"/>
  <c r="C11" i="1" a="1"/>
  <c r="C10" i="1" a="1"/>
  <c r="C9" i="1" a="1"/>
  <c r="C8" i="1" a="1"/>
  <c r="C288" i="1" a="1"/>
  <c r="C287" i="1" a="1"/>
  <c r="C286" i="1" a="1"/>
  <c r="C285" i="1" a="1"/>
  <c r="C284" i="1" a="1"/>
  <c r="C232" i="1" a="1"/>
  <c r="C231" i="1" a="1"/>
  <c r="C230" i="1" a="1"/>
  <c r="C229" i="1" a="1"/>
  <c r="C228" i="1" a="1"/>
  <c r="C227" i="1" a="1"/>
  <c r="C226" i="1" a="1"/>
  <c r="C225" i="1" a="1"/>
  <c r="C210" i="1" a="1"/>
  <c r="C209" i="1" a="1"/>
  <c r="C208" i="1" a="1"/>
  <c r="C207" i="1" a="1"/>
  <c r="C206" i="1" a="1"/>
  <c r="C190" i="1"/>
  <c r="C189" i="1"/>
  <c r="C188" i="1"/>
  <c r="C187" i="1"/>
  <c r="C182" i="1"/>
  <c r="C181" i="1"/>
  <c r="C180" i="1"/>
  <c r="C159" i="1" a="1"/>
  <c r="C158" i="1" a="1"/>
  <c r="C157" i="1" a="1"/>
  <c r="C156" i="1" a="1"/>
  <c r="C155" i="1" a="1"/>
  <c r="C154" i="1" a="1"/>
  <c r="C153" i="1" a="1"/>
  <c r="C152" i="1" a="1"/>
  <c r="C151" i="1" a="1"/>
  <c r="C150" i="1" a="1"/>
  <c r="C145" i="1" a="1"/>
  <c r="C144" i="1" a="1"/>
  <c r="C143" i="1" a="1"/>
  <c r="C142" i="1" a="1"/>
  <c r="C141" i="1" a="1"/>
  <c r="C140" i="1" a="1"/>
  <c r="C139" i="1" a="1"/>
  <c r="C134" i="1" a="1"/>
  <c r="C133" i="1" a="1"/>
  <c r="C132" i="1" a="1"/>
  <c r="C131" i="1" a="1"/>
  <c r="C130" i="1" a="1"/>
  <c r="C129" i="1" a="1"/>
  <c r="C128" i="1" a="1"/>
  <c r="C123" i="1" a="1"/>
  <c r="C122" i="1" a="1"/>
  <c r="C121" i="1" a="1"/>
  <c r="C120" i="1" a="1"/>
  <c r="C119" i="1" a="1"/>
  <c r="C118" i="1" a="1"/>
  <c r="C113" i="1" a="1"/>
  <c r="C112" i="1" a="1"/>
  <c r="C111" i="1" a="1"/>
  <c r="C110" i="1" a="1"/>
  <c r="C109" i="1" a="1"/>
  <c r="C108" i="1" a="1"/>
  <c r="C45" i="1" a="1"/>
  <c r="C44" i="1" a="1"/>
  <c r="C43" i="1" a="1"/>
  <c r="C42" i="1" a="1"/>
  <c r="C41" i="1" a="1"/>
  <c r="C36" i="1" a="1"/>
  <c r="C35" i="1" a="1"/>
  <c r="C34" i="1" a="1"/>
  <c r="C33" i="1" a="1"/>
  <c r="C32" i="1" a="1"/>
  <c r="C31" i="1" a="1"/>
  <c r="C30" i="1" a="1"/>
  <c r="A16" i="1"/>
  <c r="C437" i="1" l="1"/>
  <c r="C438" i="1"/>
  <c r="C441" i="1"/>
  <c r="C439" i="1"/>
  <c r="C440" i="1"/>
  <c r="D440" i="1"/>
  <c r="C429" i="1"/>
  <c r="C431" i="1"/>
  <c r="C430" i="1"/>
  <c r="C432" i="1"/>
  <c r="C433" i="1"/>
  <c r="D432" i="1"/>
  <c r="D441" i="1"/>
  <c r="D439" i="1"/>
  <c r="D438" i="1"/>
  <c r="D437" i="1"/>
  <c r="D430" i="1"/>
  <c r="D433" i="1"/>
  <c r="D431" i="1"/>
  <c r="D429" i="1"/>
  <c r="C418" i="1"/>
  <c r="C419" i="1"/>
  <c r="C420" i="1"/>
  <c r="C421" i="1"/>
  <c r="C422" i="1"/>
  <c r="C423" i="1"/>
  <c r="C424" i="1"/>
  <c r="C412" i="1"/>
  <c r="C413" i="1"/>
  <c r="D413" i="1"/>
  <c r="C406" i="1"/>
  <c r="C407" i="1"/>
  <c r="B465" i="1"/>
  <c r="B466" i="1"/>
  <c r="C395" i="1"/>
  <c r="C396" i="1"/>
  <c r="C397" i="1"/>
  <c r="C398" i="1"/>
  <c r="C399" i="1"/>
  <c r="C400" i="1"/>
  <c r="C401" i="1"/>
  <c r="C378" i="1"/>
  <c r="C379" i="1"/>
  <c r="C380" i="1"/>
  <c r="C381" i="1"/>
  <c r="C382" i="1"/>
  <c r="C388" i="1"/>
  <c r="C387" i="1"/>
  <c r="C389" i="1"/>
  <c r="C390" i="1"/>
  <c r="D390" i="1"/>
  <c r="D389" i="1"/>
  <c r="A468" i="1"/>
  <c r="D369" i="1"/>
  <c r="D371" i="1"/>
  <c r="D372" i="1"/>
  <c r="D373" i="1"/>
  <c r="D370" i="1"/>
  <c r="C361" i="1"/>
  <c r="C363" i="1"/>
  <c r="C360" i="1"/>
  <c r="C362" i="1"/>
  <c r="C364" i="1"/>
  <c r="C330" i="1"/>
  <c r="C352" i="1"/>
  <c r="D352" i="1" s="1"/>
  <c r="C353" i="1"/>
  <c r="D353" i="1" s="1"/>
  <c r="C354" i="1"/>
  <c r="D354" i="1" s="1"/>
  <c r="C355" i="1"/>
  <c r="D355" i="1" s="1"/>
  <c r="C347" i="1"/>
  <c r="C345" i="1"/>
  <c r="D345" i="1" s="1"/>
  <c r="C346" i="1"/>
  <c r="D346" i="1" s="1"/>
  <c r="B3" i="1"/>
  <c r="C334" i="1"/>
  <c r="D334" i="1" s="1"/>
  <c r="C317" i="1"/>
  <c r="C318" i="1"/>
  <c r="C319" i="1"/>
  <c r="C320" i="1"/>
  <c r="C321" i="1"/>
  <c r="C322" i="1"/>
  <c r="C323" i="1"/>
  <c r="C328" i="1"/>
  <c r="C329" i="1"/>
  <c r="C332" i="1"/>
  <c r="C331" i="1"/>
  <c r="C337" i="1"/>
  <c r="C335" i="1"/>
  <c r="C336" i="1"/>
  <c r="C333" i="1"/>
  <c r="C339" i="1"/>
  <c r="C340" i="1"/>
  <c r="C338" i="1"/>
  <c r="C215" i="1"/>
  <c r="C305" i="1"/>
  <c r="C306" i="1"/>
  <c r="C307" i="1"/>
  <c r="C308" i="1"/>
  <c r="D308" i="1" s="1"/>
  <c r="C312" i="1"/>
  <c r="C309" i="1"/>
  <c r="C310" i="1"/>
  <c r="C311" i="1"/>
  <c r="D311" i="1"/>
  <c r="C299" i="1"/>
  <c r="D299" i="1" s="1"/>
  <c r="C16" i="1" a="1"/>
  <c r="C293" i="1"/>
  <c r="C295" i="1"/>
  <c r="C296" i="1"/>
  <c r="C294" i="1"/>
  <c r="C297" i="1"/>
  <c r="C298" i="1"/>
  <c r="C300" i="1"/>
  <c r="D180" i="1"/>
  <c r="D181" i="1"/>
  <c r="E5" i="6"/>
  <c r="D182" i="1"/>
  <c r="C86" i="1"/>
  <c r="C87" i="1"/>
  <c r="C90" i="1"/>
  <c r="C91" i="1"/>
  <c r="C88" i="1"/>
  <c r="C89" i="1"/>
  <c r="C92" i="1"/>
  <c r="C93" i="1"/>
  <c r="C219" i="1"/>
  <c r="C130" i="1"/>
  <c r="C198" i="1"/>
  <c r="C253" i="1"/>
  <c r="C220" i="1"/>
  <c r="D220" i="1" s="1"/>
  <c r="C218" i="1"/>
  <c r="D218" i="1" s="1"/>
  <c r="C197" i="1"/>
  <c r="D197" i="1" s="1"/>
  <c r="C196" i="1"/>
  <c r="D196" i="1" s="1"/>
  <c r="C195" i="1"/>
  <c r="D195" i="1" s="1"/>
  <c r="C175" i="1"/>
  <c r="D175" i="1" s="1"/>
  <c r="C174" i="1"/>
  <c r="D174" i="1" s="1"/>
  <c r="C173" i="1"/>
  <c r="D173" i="1" s="1"/>
  <c r="C168" i="1"/>
  <c r="D168" i="1" s="1"/>
  <c r="C167" i="1"/>
  <c r="D167" i="1" s="1"/>
  <c r="C166" i="1"/>
  <c r="D166" i="1" s="1"/>
  <c r="C165" i="1"/>
  <c r="D165" i="1" s="1"/>
  <c r="C164" i="1"/>
  <c r="D164" i="1" s="1"/>
  <c r="C103" i="1"/>
  <c r="D103" i="1" s="1"/>
  <c r="C102" i="1"/>
  <c r="D102" i="1" s="1"/>
  <c r="C101" i="1"/>
  <c r="D101" i="1" s="1"/>
  <c r="C100" i="1"/>
  <c r="D100" i="1" s="1"/>
  <c r="C99" i="1"/>
  <c r="D99" i="1" s="1"/>
  <c r="C98" i="1"/>
  <c r="D98" i="1" s="1"/>
  <c r="C81" i="1"/>
  <c r="D81" i="1" s="1"/>
  <c r="C80" i="1"/>
  <c r="D80" i="1" s="1"/>
  <c r="C79" i="1"/>
  <c r="D79" i="1" s="1"/>
  <c r="C78" i="1"/>
  <c r="D78" i="1" s="1"/>
  <c r="C77" i="1"/>
  <c r="D77" i="1" s="1"/>
  <c r="C76" i="1"/>
  <c r="D76" i="1" s="1"/>
  <c r="C75" i="1"/>
  <c r="D75" i="1" s="1"/>
  <c r="C70" i="1"/>
  <c r="D70" i="1" s="1"/>
  <c r="C69" i="1"/>
  <c r="D69" i="1" s="1"/>
  <c r="C68" i="1"/>
  <c r="D68" i="1" s="1"/>
  <c r="C67" i="1"/>
  <c r="D67" i="1" s="1"/>
  <c r="C66" i="1"/>
  <c r="D66" i="1" s="1"/>
  <c r="C65" i="1"/>
  <c r="D65" i="1" s="1"/>
  <c r="C64" i="1"/>
  <c r="D64" i="1" s="1"/>
  <c r="C59" i="1"/>
  <c r="D59" i="1" s="1"/>
  <c r="C58" i="1"/>
  <c r="D58" i="1" s="1"/>
  <c r="C57" i="1"/>
  <c r="D57" i="1" s="1"/>
  <c r="C56" i="1"/>
  <c r="D56" i="1" s="1"/>
  <c r="C55" i="1"/>
  <c r="D55" i="1" s="1"/>
  <c r="C54" i="1"/>
  <c r="D54" i="1" s="1"/>
  <c r="C53" i="1"/>
  <c r="D53" i="1" s="1"/>
  <c r="C52" i="1"/>
  <c r="D52" i="1" s="1"/>
  <c r="C51" i="1"/>
  <c r="D51" i="1" s="1"/>
  <c r="C50" i="1"/>
  <c r="D50" i="1" s="1"/>
  <c r="C25" i="1"/>
  <c r="D25" i="1" s="1"/>
  <c r="C24" i="1"/>
  <c r="D24" i="1" s="1"/>
  <c r="C23" i="1"/>
  <c r="D23" i="1" s="1"/>
  <c r="C22" i="1"/>
  <c r="D22" i="1" s="1"/>
  <c r="C21" i="1"/>
  <c r="D21" i="1" s="1"/>
  <c r="C20" i="1"/>
  <c r="D20" i="1" s="1"/>
  <c r="C19" i="1"/>
  <c r="D19" i="1" s="1"/>
  <c r="C18" i="1"/>
  <c r="D18" i="1" s="1"/>
  <c r="C17" i="1"/>
  <c r="D17" i="1" s="1"/>
  <c r="C15" i="1"/>
  <c r="D15" i="1" s="1"/>
  <c r="C14" i="1"/>
  <c r="D14" i="1" s="1"/>
  <c r="C13" i="1"/>
  <c r="D13" i="1" s="1"/>
  <c r="C12" i="1"/>
  <c r="D12" i="1" s="1"/>
  <c r="C11" i="1"/>
  <c r="D11" i="1" s="1"/>
  <c r="C10" i="1"/>
  <c r="D10" i="1" s="1"/>
  <c r="C9" i="1"/>
  <c r="D9" i="1" s="1"/>
  <c r="C8" i="1"/>
  <c r="D8" i="1" s="1"/>
  <c r="C251" i="1"/>
  <c r="C245" i="1"/>
  <c r="C217" i="1"/>
  <c r="D217" i="1" s="1"/>
  <c r="C199" i="1"/>
  <c r="D199" i="1" s="1"/>
  <c r="C252" i="1"/>
  <c r="C216" i="1"/>
  <c r="D216" i="1" s="1"/>
  <c r="C200" i="1"/>
  <c r="D200" i="1" s="1"/>
  <c r="C239" i="1"/>
  <c r="C260" i="1"/>
  <c r="C258" i="1"/>
  <c r="C257" i="1"/>
  <c r="C256" i="1"/>
  <c r="C238" i="1"/>
  <c r="C241" i="1"/>
  <c r="C259" i="1"/>
  <c r="C240" i="1"/>
  <c r="C254" i="1"/>
  <c r="C201" i="1"/>
  <c r="D201" i="1" s="1"/>
  <c r="C246" i="1"/>
  <c r="C244" i="1"/>
  <c r="C243" i="1"/>
  <c r="C242" i="1"/>
  <c r="C255" i="1"/>
  <c r="C237" i="1"/>
  <c r="C210" i="1"/>
  <c r="D210" i="1" s="1"/>
  <c r="C208" i="1"/>
  <c r="D208" i="1" s="1"/>
  <c r="C206" i="1"/>
  <c r="C158" i="1"/>
  <c r="D158" i="1" s="1"/>
  <c r="C155" i="1"/>
  <c r="D155" i="1" s="1"/>
  <c r="C152" i="1"/>
  <c r="D152" i="1" s="1"/>
  <c r="C144" i="1"/>
  <c r="D144" i="1" s="1"/>
  <c r="C141" i="1"/>
  <c r="D141" i="1" s="1"/>
  <c r="C134" i="1"/>
  <c r="D134" i="1" s="1"/>
  <c r="C133" i="1"/>
  <c r="D133" i="1" s="1"/>
  <c r="C41" i="1"/>
  <c r="D41" i="1" s="1"/>
  <c r="C129" i="1"/>
  <c r="D129" i="1" s="1"/>
  <c r="C128" i="1"/>
  <c r="D128" i="1" s="1"/>
  <c r="C123" i="1"/>
  <c r="D123" i="1" s="1"/>
  <c r="C122" i="1"/>
  <c r="D122" i="1" s="1"/>
  <c r="C121" i="1"/>
  <c r="D121" i="1" s="1"/>
  <c r="C120" i="1"/>
  <c r="D120" i="1" s="1"/>
  <c r="C119" i="1"/>
  <c r="D119" i="1" s="1"/>
  <c r="C118" i="1"/>
  <c r="D118" i="1" s="1"/>
  <c r="C113" i="1"/>
  <c r="D113" i="1" s="1"/>
  <c r="C112" i="1"/>
  <c r="D112" i="1" s="1"/>
  <c r="C111" i="1"/>
  <c r="D111" i="1" s="1"/>
  <c r="C110" i="1"/>
  <c r="D110" i="1" s="1"/>
  <c r="C109" i="1"/>
  <c r="D109" i="1" s="1"/>
  <c r="C108" i="1"/>
  <c r="D108" i="1" s="1"/>
  <c r="C45" i="1"/>
  <c r="D45" i="1" s="1"/>
  <c r="C44" i="1"/>
  <c r="D44" i="1" s="1"/>
  <c r="C43" i="1"/>
  <c r="D43" i="1" s="1"/>
  <c r="C42" i="1"/>
  <c r="D42" i="1" s="1"/>
  <c r="C33" i="1"/>
  <c r="D33" i="1" s="1"/>
  <c r="C31" i="1"/>
  <c r="D31" i="1" s="1"/>
  <c r="C30" i="1"/>
  <c r="D30" i="1" s="1"/>
  <c r="D187" i="1"/>
  <c r="D188" i="1"/>
  <c r="D189" i="1"/>
  <c r="D190" i="1"/>
  <c r="C159" i="1"/>
  <c r="D159" i="1" s="1"/>
  <c r="C156" i="1"/>
  <c r="D156" i="1" s="1"/>
  <c r="C151" i="1"/>
  <c r="D151" i="1" s="1"/>
  <c r="C145" i="1"/>
  <c r="D145" i="1" s="1"/>
  <c r="C142" i="1"/>
  <c r="D142" i="1" s="1"/>
  <c r="C139" i="1"/>
  <c r="D139" i="1" s="1"/>
  <c r="C132" i="1"/>
  <c r="D132" i="1" s="1"/>
  <c r="C36" i="1"/>
  <c r="D36" i="1" s="1"/>
  <c r="C34" i="1"/>
  <c r="D34" i="1" s="1"/>
  <c r="C227" i="1"/>
  <c r="C226" i="1"/>
  <c r="C209" i="1"/>
  <c r="D209" i="1" s="1"/>
  <c r="C207" i="1"/>
  <c r="D207" i="1" s="1"/>
  <c r="C157" i="1"/>
  <c r="D157" i="1" s="1"/>
  <c r="C154" i="1"/>
  <c r="D154" i="1" s="1"/>
  <c r="C153" i="1"/>
  <c r="D153" i="1" s="1"/>
  <c r="C150" i="1"/>
  <c r="D150" i="1" s="1"/>
  <c r="C143" i="1"/>
  <c r="D143" i="1" s="1"/>
  <c r="C140" i="1"/>
  <c r="D140" i="1" s="1"/>
  <c r="C131" i="1"/>
  <c r="D131" i="1" s="1"/>
  <c r="C35" i="1"/>
  <c r="D35" i="1" s="1"/>
  <c r="C32" i="1"/>
  <c r="D32" i="1" s="1"/>
  <c r="C288" i="1"/>
  <c r="C287" i="1"/>
  <c r="C286" i="1"/>
  <c r="C285" i="1"/>
  <c r="C232" i="1"/>
  <c r="C284" i="1"/>
  <c r="C230" i="1"/>
  <c r="C231" i="1"/>
  <c r="C228" i="1"/>
  <c r="C225" i="1"/>
  <c r="C229" i="1"/>
  <c r="D274" i="1"/>
  <c r="D272" i="1"/>
  <c r="D268" i="1"/>
  <c r="D267" i="1"/>
  <c r="D270" i="1"/>
  <c r="D279" i="1"/>
  <c r="D271" i="1"/>
  <c r="D269" i="1"/>
  <c r="D273" i="1"/>
  <c r="D278" i="1"/>
  <c r="D266" i="1"/>
  <c r="D277" i="1"/>
  <c r="D276" i="1"/>
  <c r="D265" i="1"/>
  <c r="D275" i="1"/>
  <c r="D412" i="1" l="1"/>
  <c r="D420" i="1"/>
  <c r="D421" i="1"/>
  <c r="D419" i="1"/>
  <c r="D442" i="1"/>
  <c r="D434" i="1"/>
  <c r="D422" i="1"/>
  <c r="D423" i="1"/>
  <c r="D424" i="1"/>
  <c r="D407" i="1"/>
  <c r="D406" i="1"/>
  <c r="D323" i="1"/>
  <c r="D418" i="1"/>
  <c r="D399" i="1"/>
  <c r="D398" i="1"/>
  <c r="D401" i="1"/>
  <c r="D400" i="1"/>
  <c r="D396" i="1"/>
  <c r="D397" i="1"/>
  <c r="D395" i="1"/>
  <c r="D414" i="1"/>
  <c r="D387" i="1"/>
  <c r="D338" i="1"/>
  <c r="D388" i="1"/>
  <c r="D378" i="1"/>
  <c r="D380" i="1"/>
  <c r="D381" i="1"/>
  <c r="D382" i="1"/>
  <c r="D379" i="1"/>
  <c r="D360" i="1"/>
  <c r="D361" i="1"/>
  <c r="D362" i="1"/>
  <c r="D363" i="1"/>
  <c r="D364" i="1"/>
  <c r="D374" i="1"/>
  <c r="D317" i="1"/>
  <c r="D320" i="1"/>
  <c r="D322" i="1"/>
  <c r="D318" i="1"/>
  <c r="D321" i="1"/>
  <c r="A465" i="1" a="1"/>
  <c r="A465" i="1" s="1"/>
  <c r="D347" i="1"/>
  <c r="D356" i="1"/>
  <c r="D319" i="1"/>
  <c r="D305" i="1"/>
  <c r="D312" i="1"/>
  <c r="D306" i="1"/>
  <c r="D310" i="1"/>
  <c r="D307" i="1"/>
  <c r="D333" i="1"/>
  <c r="D339" i="1"/>
  <c r="D336" i="1"/>
  <c r="D337" i="1"/>
  <c r="D328" i="1"/>
  <c r="D331" i="1"/>
  <c r="D332" i="1"/>
  <c r="D329" i="1"/>
  <c r="D330" i="1"/>
  <c r="D335" i="1"/>
  <c r="D215" i="1"/>
  <c r="D130" i="1"/>
  <c r="D340" i="1"/>
  <c r="D309" i="1"/>
  <c r="D230" i="1"/>
  <c r="D229" i="1"/>
  <c r="D232" i="1"/>
  <c r="D298" i="1"/>
  <c r="D295" i="1"/>
  <c r="D297" i="1"/>
  <c r="D294" i="1"/>
  <c r="D293" i="1"/>
  <c r="D300" i="1"/>
  <c r="D90" i="1"/>
  <c r="D89" i="1"/>
  <c r="D88" i="1"/>
  <c r="D87" i="1"/>
  <c r="D86" i="1"/>
  <c r="C16" i="1"/>
  <c r="D296" i="1"/>
  <c r="D183" i="1"/>
  <c r="D93" i="1"/>
  <c r="D92" i="1"/>
  <c r="D91" i="1"/>
  <c r="D219" i="1"/>
  <c r="D228" i="1"/>
  <c r="D225" i="1"/>
  <c r="D198" i="1"/>
  <c r="D82" i="1"/>
  <c r="D245" i="1"/>
  <c r="D237" i="1"/>
  <c r="D206" i="1"/>
  <c r="D104" i="1"/>
  <c r="D242" i="1"/>
  <c r="D240" i="1"/>
  <c r="D246" i="1"/>
  <c r="D239" i="1"/>
  <c r="D243" i="1"/>
  <c r="D241" i="1"/>
  <c r="D244" i="1"/>
  <c r="D238" i="1"/>
  <c r="D169" i="1"/>
  <c r="D176" i="1"/>
  <c r="D60" i="1"/>
  <c r="D71" i="1"/>
  <c r="D226" i="1"/>
  <c r="D227" i="1"/>
  <c r="D191" i="1"/>
  <c r="D160" i="1"/>
  <c r="D146" i="1"/>
  <c r="D124" i="1"/>
  <c r="D114" i="1"/>
  <c r="D46" i="1"/>
  <c r="D37" i="1"/>
  <c r="D288" i="1"/>
  <c r="D284" i="1"/>
  <c r="D260" i="1"/>
  <c r="D259" i="1"/>
  <c r="D285" i="1"/>
  <c r="D286" i="1"/>
  <c r="D287" i="1"/>
  <c r="D257" i="1"/>
  <c r="D255" i="1"/>
  <c r="D231" i="1"/>
  <c r="D258" i="1"/>
  <c r="D280" i="1"/>
  <c r="D252" i="1"/>
  <c r="D251" i="1"/>
  <c r="D254" i="1"/>
  <c r="D253" i="1"/>
  <c r="D256" i="1"/>
  <c r="D408" i="1" l="1"/>
  <c r="D425" i="1"/>
  <c r="D402" i="1"/>
  <c r="D383" i="1"/>
  <c r="D391" i="1"/>
  <c r="D365" i="1"/>
  <c r="D348" i="1"/>
  <c r="D324" i="1"/>
  <c r="B467" i="1"/>
  <c r="D135" i="1"/>
  <c r="D313" i="1"/>
  <c r="D94" i="1"/>
  <c r="D341" i="1"/>
  <c r="D16" i="1"/>
  <c r="D221" i="1"/>
  <c r="D301" i="1"/>
  <c r="D202" i="1"/>
  <c r="D211" i="1"/>
  <c r="D247" i="1"/>
  <c r="D261" i="1"/>
  <c r="D289" i="1"/>
  <c r="D233" i="1"/>
  <c r="D26" i="1" l="1"/>
  <c r="B4" i="1" l="1" a="1"/>
  <c r="B4" i="1" s="1"/>
  <c r="B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sys
from math import factorial
sys.set_int_max_str_digits(32766)
a = int(xl(%P2%))
b = int(xl(%P3%))
str(factorial(a))</code>
    </pythonScript>
  </pythonScripts>
</python>
</file>

<file path=xl/sharedStrings.xml><?xml version="1.0" encoding="utf-8"?>
<sst xmlns="http://schemas.openxmlformats.org/spreadsheetml/2006/main" count="1002" uniqueCount="658">
  <si>
    <t>12345</t>
  </si>
  <si>
    <t>-12345</t>
  </si>
  <si>
    <t>000123</t>
  </si>
  <si>
    <t>-000123</t>
  </si>
  <si>
    <t>0</t>
  </si>
  <si>
    <t>000</t>
  </si>
  <si>
    <t>-0</t>
  </si>
  <si>
    <t>-0000</t>
  </si>
  <si>
    <t xml:space="preserve"> 123</t>
  </si>
  <si>
    <t xml:space="preserve">123 </t>
  </si>
  <si>
    <t>12.3</t>
  </si>
  <si>
    <t>12,345</t>
  </si>
  <si>
    <t>123a</t>
  </si>
  <si>
    <t>--123</t>
  </si>
  <si>
    <t>12-3</t>
  </si>
  <si>
    <t>0000</t>
  </si>
  <si>
    <t>123</t>
  </si>
  <si>
    <t>-123</t>
  </si>
  <si>
    <r>
      <rPr>
        <b/>
        <sz val="11"/>
        <color theme="1"/>
        <rFont val="Aptos Narrow"/>
        <family val="2"/>
        <scheme val="minor"/>
      </rPr>
      <t>Standard:</t>
    </r>
    <r>
      <rPr>
        <sz val="11"/>
        <color theme="1"/>
        <rFont val="Aptos Narrow"/>
        <family val="2"/>
        <scheme val="minor"/>
      </rPr>
      <t xml:space="preserve"> Valid positive integer.</t>
    </r>
  </si>
  <si>
    <r>
      <rPr>
        <b/>
        <sz val="11"/>
        <color theme="1"/>
        <rFont val="Aptos Narrow"/>
        <family val="2"/>
        <scheme val="minor"/>
      </rPr>
      <t>Standard:</t>
    </r>
    <r>
      <rPr>
        <sz val="11"/>
        <color theme="1"/>
        <rFont val="Aptos Narrow"/>
        <family val="2"/>
        <scheme val="minor"/>
      </rPr>
      <t xml:space="preserve"> Valid negative integer.</t>
    </r>
  </si>
  <si>
    <r>
      <rPr>
        <b/>
        <sz val="11"/>
        <color theme="1"/>
        <rFont val="Aptos Narrow"/>
        <family val="2"/>
        <scheme val="minor"/>
      </rPr>
      <t>Normalization:</t>
    </r>
    <r>
      <rPr>
        <sz val="11"/>
        <color theme="1"/>
        <rFont val="Aptos Narrow"/>
        <family val="2"/>
        <scheme val="minor"/>
      </rPr>
      <t xml:space="preserve"> Strips leading zeros.</t>
    </r>
  </si>
  <si>
    <r>
      <rPr>
        <b/>
        <sz val="11"/>
        <color theme="1"/>
        <rFont val="Aptos Narrow"/>
        <family val="2"/>
        <scheme val="minor"/>
      </rPr>
      <t>Normalization:</t>
    </r>
    <r>
      <rPr>
        <sz val="11"/>
        <color theme="1"/>
        <rFont val="Aptos Narrow"/>
        <family val="2"/>
        <scheme val="minor"/>
      </rPr>
      <t xml:space="preserve"> Preserves sign while stripping leading zeros.</t>
    </r>
  </si>
  <si>
    <r>
      <rPr>
        <b/>
        <sz val="11"/>
        <color theme="1"/>
        <rFont val="Aptos Narrow"/>
        <family val="2"/>
        <scheme val="minor"/>
      </rPr>
      <t>Zero Handling:</t>
    </r>
    <r>
      <rPr>
        <sz val="11"/>
        <color theme="1"/>
        <rFont val="Aptos Narrow"/>
        <family val="2"/>
        <scheme val="minor"/>
      </rPr>
      <t xml:space="preserve"> Single zero remains zero.</t>
    </r>
  </si>
  <si>
    <r>
      <rPr>
        <b/>
        <sz val="11"/>
        <color theme="1"/>
        <rFont val="Aptos Narrow"/>
        <family val="2"/>
        <scheme val="minor"/>
      </rPr>
      <t>Zero Handling:</t>
    </r>
    <r>
      <rPr>
        <sz val="11"/>
        <color theme="1"/>
        <rFont val="Aptos Narrow"/>
        <family val="2"/>
        <scheme val="minor"/>
      </rPr>
      <t xml:space="preserve"> Multiple zeros collapse to a single zero.</t>
    </r>
  </si>
  <si>
    <r>
      <rPr>
        <b/>
        <sz val="11"/>
        <color theme="1"/>
        <rFont val="Aptos Narrow"/>
        <family val="2"/>
        <scheme val="minor"/>
      </rPr>
      <t>Canonical Form:</t>
    </r>
    <r>
      <rPr>
        <sz val="11"/>
        <color theme="1"/>
        <rFont val="Aptos Narrow"/>
        <family val="2"/>
        <scheme val="minor"/>
      </rPr>
      <t xml:space="preserve"> Negative zero normalizes to strict zero.</t>
    </r>
  </si>
  <si>
    <r>
      <rPr>
        <b/>
        <sz val="11"/>
        <color theme="1"/>
        <rFont val="Aptos Narrow"/>
        <family val="2"/>
        <scheme val="minor"/>
      </rPr>
      <t>Canonical Form:</t>
    </r>
    <r>
      <rPr>
        <sz val="11"/>
        <color theme="1"/>
        <rFont val="Aptos Narrow"/>
        <family val="2"/>
        <scheme val="minor"/>
      </rPr>
      <t xml:space="preserve"> Negative multiple zeros normalize to strict zero.</t>
    </r>
  </si>
  <si>
    <r>
      <rPr>
        <b/>
        <sz val="11"/>
        <color theme="1"/>
        <rFont val="Aptos Narrow"/>
        <family val="2"/>
        <scheme val="minor"/>
      </rPr>
      <t>Edge Case:</t>
    </r>
    <r>
      <rPr>
        <sz val="11"/>
        <color theme="1"/>
        <rFont val="Aptos Narrow"/>
        <family val="2"/>
        <scheme val="minor"/>
      </rPr>
      <t xml:space="preserve"> Empty string defaults to zero.</t>
    </r>
  </si>
  <si>
    <r>
      <rPr>
        <b/>
        <sz val="11"/>
        <color theme="1"/>
        <rFont val="Aptos Narrow"/>
        <family val="2"/>
        <scheme val="minor"/>
      </rPr>
      <t>Edge Case:</t>
    </r>
    <r>
      <rPr>
        <sz val="11"/>
        <color theme="1"/>
        <rFont val="Aptos Narrow"/>
        <family val="2"/>
        <scheme val="minor"/>
      </rPr>
      <t xml:space="preserve"> Missing argument defaults to zero.</t>
    </r>
  </si>
  <si>
    <r>
      <rPr>
        <b/>
        <sz val="11"/>
        <color theme="1"/>
        <rFont val="Aptos Narrow"/>
        <family val="2"/>
        <scheme val="minor"/>
      </rPr>
      <t>Fail-Fast:</t>
    </r>
    <r>
      <rPr>
        <sz val="11"/>
        <color theme="1"/>
        <rFont val="Aptos Narrow"/>
        <family val="2"/>
        <scheme val="minor"/>
      </rPr>
      <t xml:space="preserve"> Leading spaces are strictly forbidden.</t>
    </r>
  </si>
  <si>
    <r>
      <rPr>
        <b/>
        <sz val="11"/>
        <color theme="1"/>
        <rFont val="Aptos Narrow"/>
        <family val="2"/>
        <scheme val="minor"/>
      </rPr>
      <t>Fail-Fast:</t>
    </r>
    <r>
      <rPr>
        <sz val="11"/>
        <color theme="1"/>
        <rFont val="Aptos Narrow"/>
        <family val="2"/>
        <scheme val="minor"/>
      </rPr>
      <t xml:space="preserve"> Trailing spaces are strictly forbidden.</t>
    </r>
  </si>
  <si>
    <r>
      <rPr>
        <b/>
        <sz val="11"/>
        <color theme="1"/>
        <rFont val="Aptos Narrow"/>
        <family val="2"/>
        <scheme val="minor"/>
      </rPr>
      <t>Fail-Fast:</t>
    </r>
    <r>
      <rPr>
        <sz val="11"/>
        <color theme="1"/>
        <rFont val="Aptos Narrow"/>
        <family val="2"/>
        <scheme val="minor"/>
      </rPr>
      <t xml:space="preserve"> Decimals/floating-point values are rejected.</t>
    </r>
  </si>
  <si>
    <r>
      <rPr>
        <b/>
        <sz val="11"/>
        <color theme="1"/>
        <rFont val="Aptos Narrow"/>
        <family val="2"/>
        <scheme val="minor"/>
      </rPr>
      <t>Fail-Fast:</t>
    </r>
    <r>
      <rPr>
        <sz val="11"/>
        <color theme="1"/>
        <rFont val="Aptos Narrow"/>
        <family val="2"/>
        <scheme val="minor"/>
      </rPr>
      <t xml:space="preserve"> Formatting characters (commas) are rejected.</t>
    </r>
  </si>
  <si>
    <r>
      <rPr>
        <b/>
        <sz val="11"/>
        <color theme="1"/>
        <rFont val="Aptos Narrow"/>
        <family val="2"/>
        <scheme val="minor"/>
      </rPr>
      <t>Fail-Fast:</t>
    </r>
    <r>
      <rPr>
        <sz val="11"/>
        <color theme="1"/>
        <rFont val="Aptos Narrow"/>
        <family val="2"/>
        <scheme val="minor"/>
      </rPr>
      <t xml:space="preserve"> Alphanumeric characters are rejected.</t>
    </r>
  </si>
  <si>
    <r>
      <rPr>
        <b/>
        <sz val="11"/>
        <color theme="1"/>
        <rFont val="Aptos Narrow"/>
        <family val="2"/>
        <scheme val="minor"/>
      </rPr>
      <t>Fail-Fast:</t>
    </r>
    <r>
      <rPr>
        <sz val="11"/>
        <color theme="1"/>
        <rFont val="Aptos Narrow"/>
        <family val="2"/>
        <scheme val="minor"/>
      </rPr>
      <t xml:space="preserve"> Multiple signs are rejected.</t>
    </r>
  </si>
  <si>
    <r>
      <rPr>
        <b/>
        <sz val="11"/>
        <color theme="1"/>
        <rFont val="Aptos Narrow"/>
        <family val="2"/>
        <scheme val="minor"/>
      </rPr>
      <t>Fail-Fast:</t>
    </r>
    <r>
      <rPr>
        <sz val="11"/>
        <color theme="1"/>
        <rFont val="Aptos Narrow"/>
        <family val="2"/>
        <scheme val="minor"/>
      </rPr>
      <t xml:space="preserve"> Misplaced signs are rejected.</t>
    </r>
  </si>
  <si>
    <t>expected</t>
  </si>
  <si>
    <t>output</t>
  </si>
  <si>
    <t>test</t>
  </si>
  <si>
    <r>
      <t>Standard Add/Sub:</t>
    </r>
    <r>
      <rPr>
        <sz val="11"/>
        <color theme="1"/>
        <rFont val="Aptos Narrow"/>
        <family val="2"/>
        <scheme val="minor"/>
      </rPr>
      <t xml:space="preserve"> Explicit 2 items.</t>
    </r>
  </si>
  <si>
    <r>
      <t>Fail-Fast:</t>
    </r>
    <r>
      <rPr>
        <sz val="11"/>
        <color theme="1"/>
        <rFont val="Aptos Narrow"/>
        <family val="2"/>
        <scheme val="minor"/>
      </rPr>
      <t xml:space="preserve"> Invalid operation throws error.</t>
    </r>
  </si>
  <si>
    <t>123456</t>
  </si>
  <si>
    <t>1234567</t>
  </si>
  <si>
    <t>1000002</t>
  </si>
  <si>
    <r>
      <t>String Ceiling Mul:</t>
    </r>
    <r>
      <rPr>
        <sz val="11"/>
        <color theme="1"/>
        <rFont val="Aptos Narrow"/>
        <family val="2"/>
        <scheme val="minor"/>
      </rPr>
      <t xml:space="preserve"> Absolute max Excel string length (</t>
    </r>
    <r>
      <rPr>
        <sz val="10"/>
        <color theme="1"/>
        <rFont val="Aptos Narrow"/>
        <family val="2"/>
        <scheme val="minor"/>
      </rPr>
      <t>LEN=5</t>
    </r>
    <r>
      <rPr>
        <sz val="11"/>
        <color theme="1"/>
        <rFont val="Aptos Narrow"/>
        <family val="2"/>
        <scheme val="minor"/>
      </rPr>
      <t xml:space="preserve">). </t>
    </r>
    <r>
      <rPr>
        <i/>
        <sz val="11"/>
        <color theme="1"/>
        <rFont val="Aptos Narrow"/>
        <family val="2"/>
        <scheme val="minor"/>
      </rPr>
      <t>k=5</t>
    </r>
    <r>
      <rPr>
        <sz val="11"/>
        <color theme="1"/>
        <rFont val="Aptos Narrow"/>
        <family val="2"/>
        <scheme val="minor"/>
      </rPr>
      <t>.</t>
    </r>
  </si>
  <si>
    <r>
      <t>Medium Mul:</t>
    </r>
    <r>
      <rPr>
        <sz val="11"/>
        <color theme="1"/>
        <rFont val="Aptos Narrow"/>
        <family val="2"/>
        <scheme val="minor"/>
      </rPr>
      <t xml:space="preserve"> Shorter string is 100 digits (</t>
    </r>
    <r>
      <rPr>
        <sz val="10"/>
        <color theme="1"/>
        <rFont val="Aptos Narrow"/>
        <family val="2"/>
        <scheme val="minor"/>
      </rPr>
      <t>LEN=3</t>
    </r>
    <r>
      <rPr>
        <sz val="11"/>
        <color theme="1"/>
        <rFont val="Aptos Narrow"/>
        <family val="2"/>
        <scheme val="minor"/>
      </rPr>
      <t>). ⌊</t>
    </r>
    <r>
      <rPr>
        <i/>
        <sz val="11"/>
        <color theme="1"/>
        <rFont val="Aptos Narrow"/>
        <family val="2"/>
        <scheme val="minor"/>
      </rPr>
      <t>(15-3)/2</t>
    </r>
    <r>
      <rPr>
        <sz val="11"/>
        <color theme="1"/>
        <rFont val="Aptos Narrow"/>
        <family val="2"/>
        <scheme val="minor"/>
      </rPr>
      <t>⌋</t>
    </r>
    <r>
      <rPr>
        <i/>
        <sz val="11"/>
        <color theme="1"/>
        <rFont val="Aptos Narrow"/>
        <family val="2"/>
        <scheme val="minor"/>
      </rPr>
      <t>= 6</t>
    </r>
    <r>
      <rPr>
        <sz val="11"/>
        <color theme="1"/>
        <rFont val="Aptos Narrow"/>
        <family val="2"/>
        <scheme val="minor"/>
      </rPr>
      <t>.</t>
    </r>
  </si>
  <si>
    <r>
      <t>Small Mul:</t>
    </r>
    <r>
      <rPr>
        <sz val="11"/>
        <color theme="1"/>
        <rFont val="Aptos Narrow"/>
        <family val="2"/>
        <scheme val="minor"/>
      </rPr>
      <t xml:space="preserve"> 2 items (</t>
    </r>
    <r>
      <rPr>
        <sz val="10"/>
        <color theme="1"/>
        <rFont val="Aptos Narrow"/>
        <family val="2"/>
        <scheme val="minor"/>
      </rPr>
      <t>LEN=1</t>
    </r>
    <r>
      <rPr>
        <sz val="11"/>
        <color theme="1"/>
        <rFont val="Aptos Narrow"/>
        <family val="2"/>
        <scheme val="minor"/>
      </rPr>
      <t>). ⌊</t>
    </r>
    <r>
      <rPr>
        <i/>
        <sz val="11"/>
        <color theme="1"/>
        <rFont val="Aptos Narrow"/>
        <family val="2"/>
        <scheme val="minor"/>
      </rPr>
      <t>(15-1)/2</t>
    </r>
    <r>
      <rPr>
        <sz val="11"/>
        <color theme="1"/>
        <rFont val="Aptos Narrow"/>
        <family val="2"/>
        <scheme val="minor"/>
      </rPr>
      <t>⌋</t>
    </r>
    <r>
      <rPr>
        <i/>
        <sz val="11"/>
        <color theme="1"/>
        <rFont val="Aptos Narrow"/>
        <family val="2"/>
        <scheme val="minor"/>
      </rPr>
      <t xml:space="preserve"> = 7</t>
    </r>
    <r>
      <rPr>
        <sz val="11"/>
        <color theme="1"/>
        <rFont val="Aptos Narrow"/>
        <family val="2"/>
        <scheme val="minor"/>
      </rPr>
      <t>.</t>
    </r>
  </si>
  <si>
    <r>
      <t>Range Sum:</t>
    </r>
    <r>
      <rPr>
        <sz val="11"/>
        <color theme="1"/>
        <rFont val="Aptos Narrow"/>
        <family val="2"/>
        <scheme val="minor"/>
      </rPr>
      <t xml:space="preserve"> Flattened range of 1000 cells (</t>
    </r>
    <r>
      <rPr>
        <sz val="10"/>
        <color theme="1"/>
        <rFont val="Aptos Narrow"/>
        <family val="2"/>
        <scheme val="minor"/>
      </rPr>
      <t>LEN=4</t>
    </r>
    <r>
      <rPr>
        <sz val="11"/>
        <color theme="1"/>
        <rFont val="Aptos Narrow"/>
        <family val="2"/>
        <scheme val="minor"/>
      </rPr>
      <t xml:space="preserve">). </t>
    </r>
    <r>
      <rPr>
        <i/>
        <sz val="11"/>
        <color theme="1"/>
        <rFont val="Aptos Narrow"/>
        <family val="2"/>
        <scheme val="minor"/>
      </rPr>
      <t>k=11</t>
    </r>
    <r>
      <rPr>
        <sz val="11"/>
        <color theme="1"/>
        <rFont val="Aptos Narrow"/>
        <family val="2"/>
        <scheme val="minor"/>
      </rPr>
      <t>.</t>
    </r>
  </si>
  <si>
    <r>
      <t>Standard Add/Sub:</t>
    </r>
    <r>
      <rPr>
        <sz val="11"/>
        <color theme="1"/>
        <rFont val="Aptos Narrow"/>
        <family val="2"/>
        <scheme val="minor"/>
      </rPr>
      <t xml:space="preserve"> 2 items (</t>
    </r>
    <r>
      <rPr>
        <sz val="10"/>
        <color theme="1"/>
        <rFont val="Aptos Narrow"/>
        <family val="2"/>
        <scheme val="minor"/>
      </rPr>
      <t>LEN=1</t>
    </r>
    <r>
      <rPr>
        <sz val="11"/>
        <color theme="1"/>
        <rFont val="Aptos Narrow"/>
        <family val="2"/>
        <scheme val="minor"/>
      </rPr>
      <t xml:space="preserve">). </t>
    </r>
    <r>
      <rPr>
        <i/>
        <sz val="11"/>
        <color theme="1"/>
        <rFont val="Aptos Narrow"/>
        <family val="2"/>
        <scheme val="minor"/>
      </rPr>
      <t>15-1=14</t>
    </r>
    <r>
      <rPr>
        <sz val="11"/>
        <color theme="1"/>
        <rFont val="Aptos Narrow"/>
        <family val="2"/>
        <scheme val="minor"/>
      </rPr>
      <t>.</t>
    </r>
  </si>
  <si>
    <t>passing</t>
  </si>
  <si>
    <t>5</t>
  </si>
  <si>
    <r>
      <t>Standard:</t>
    </r>
    <r>
      <rPr>
        <sz val="11"/>
        <color theme="1"/>
        <rFont val="Aptos Narrow"/>
        <family val="2"/>
        <scheme val="minor"/>
      </rPr>
      <t xml:space="preserve"> Perfect multiple.</t>
    </r>
  </si>
  <si>
    <r>
      <t>Padding Checks:</t>
    </r>
    <r>
      <rPr>
        <sz val="11"/>
        <color theme="1"/>
        <rFont val="Aptos Narrow"/>
        <family val="2"/>
        <scheme val="minor"/>
      </rPr>
      <t xml:space="preserve"> Zeros are padded back to </t>
    </r>
    <r>
      <rPr>
        <i/>
        <sz val="11"/>
        <color theme="1"/>
        <rFont val="Aptos Narrow"/>
        <family val="2"/>
        <scheme val="minor"/>
      </rPr>
      <t>k</t>
    </r>
    <r>
      <rPr>
        <sz val="11"/>
        <color theme="1"/>
        <rFont val="Aptos Narrow"/>
        <family val="2"/>
        <scheme val="minor"/>
      </rPr>
      <t xml:space="preserve"> length.</t>
    </r>
  </si>
  <si>
    <t/>
  </si>
  <si>
    <t>1</t>
  </si>
  <si>
    <t>-1</t>
  </si>
  <si>
    <r>
      <t>Normalization: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"000"</t>
    </r>
    <r>
      <rPr>
        <sz val="11"/>
        <color theme="1"/>
        <rFont val="Aptos Narrow"/>
        <family val="2"/>
        <scheme val="minor"/>
      </rPr>
      <t xml:space="preserve"> resolves to </t>
    </r>
    <r>
      <rPr>
        <sz val="10"/>
        <color theme="1"/>
        <rFont val="Arial Unicode MS"/>
      </rPr>
      <t>"0"</t>
    </r>
    <r>
      <rPr>
        <sz val="11"/>
        <color theme="1"/>
        <rFont val="Aptos Narrow"/>
        <family val="2"/>
        <scheme val="minor"/>
      </rPr>
      <t>.</t>
    </r>
  </si>
  <si>
    <r>
      <t>Standard: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"0"</t>
    </r>
    <r>
      <rPr>
        <sz val="11"/>
        <color theme="1"/>
        <rFont val="Aptos Narrow"/>
        <family val="2"/>
        <scheme val="minor"/>
      </rPr>
      <t xml:space="preserve"> is </t>
    </r>
    <r>
      <rPr>
        <sz val="10"/>
        <color theme="1"/>
        <rFont val="Arial Unicode MS"/>
      </rPr>
      <t>"0"</t>
    </r>
    <r>
      <rPr>
        <sz val="11"/>
        <color theme="1"/>
        <rFont val="Aptos Narrow"/>
        <family val="2"/>
        <scheme val="minor"/>
      </rPr>
      <t>.</t>
    </r>
  </si>
  <si>
    <r>
      <t>Canonical Form:</t>
    </r>
    <r>
      <rPr>
        <sz val="11"/>
        <color theme="1"/>
        <rFont val="Aptos Narrow"/>
        <family val="2"/>
        <scheme val="minor"/>
      </rPr>
      <t xml:space="preserve"> "-0" normalizes to "0".</t>
    </r>
  </si>
  <si>
    <r>
      <t>Normalization: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""</t>
    </r>
    <r>
      <rPr>
        <sz val="11"/>
        <color theme="1"/>
        <rFont val="Aptos Narrow"/>
        <family val="2"/>
        <scheme val="minor"/>
      </rPr>
      <t xml:space="preserve"> resolves to </t>
    </r>
    <r>
      <rPr>
        <sz val="10"/>
        <color theme="1"/>
        <rFont val="Arial Unicode MS"/>
      </rPr>
      <t>"0"</t>
    </r>
    <r>
      <rPr>
        <sz val="11"/>
        <color theme="1"/>
        <rFont val="Aptos Narrow"/>
        <family val="2"/>
        <scheme val="minor"/>
      </rPr>
      <t>.</t>
    </r>
  </si>
  <si>
    <r>
      <t>Normalization:</t>
    </r>
    <r>
      <rPr>
        <sz val="11"/>
        <color theme="1"/>
        <rFont val="Aptos Narrow"/>
        <family val="2"/>
        <scheme val="minor"/>
      </rPr>
      <t xml:space="preserve"> null resolves to </t>
    </r>
    <r>
      <rPr>
        <sz val="10"/>
        <color theme="1"/>
        <rFont val="Arial Unicode MS"/>
      </rPr>
      <t>"0"</t>
    </r>
    <r>
      <rPr>
        <sz val="11"/>
        <color theme="1"/>
        <rFont val="Aptos Narrow"/>
        <family val="2"/>
        <scheme val="minor"/>
      </rPr>
      <t>.</t>
    </r>
  </si>
  <si>
    <r>
      <t>Standard: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"1"</t>
    </r>
    <r>
      <rPr>
        <sz val="11"/>
        <color theme="1"/>
        <rFont val="Aptos Narrow"/>
        <family val="2"/>
        <scheme val="minor"/>
      </rPr>
      <t xml:space="preserve"> is not </t>
    </r>
    <r>
      <rPr>
        <sz val="10"/>
        <color theme="1"/>
        <rFont val="Arial Unicode MS"/>
      </rPr>
      <t>"0"</t>
    </r>
    <r>
      <rPr>
        <sz val="11"/>
        <color theme="1"/>
        <rFont val="Aptos Narrow"/>
        <family val="2"/>
        <scheme val="minor"/>
      </rPr>
      <t>.</t>
    </r>
  </si>
  <si>
    <r>
      <t>Standard: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"-1"</t>
    </r>
    <r>
      <rPr>
        <sz val="11"/>
        <color theme="1"/>
        <rFont val="Aptos Narrow"/>
        <family val="2"/>
        <scheme val="minor"/>
      </rPr>
      <t xml:space="preserve"> is not </t>
    </r>
    <r>
      <rPr>
        <sz val="10"/>
        <color theme="1"/>
        <rFont val="Arial Unicode MS"/>
      </rPr>
      <t>"0"</t>
    </r>
    <r>
      <rPr>
        <sz val="11"/>
        <color theme="1"/>
        <rFont val="Aptos Narrow"/>
        <family val="2"/>
        <scheme val="minor"/>
      </rPr>
      <t>.</t>
    </r>
  </si>
  <si>
    <r>
      <t>Standard: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"0"</t>
    </r>
    <r>
      <rPr>
        <sz val="11"/>
        <color theme="1"/>
        <rFont val="Aptos Narrow"/>
        <family val="2"/>
        <scheme val="minor"/>
      </rPr>
      <t xml:space="preserve"> is strictly not negative.</t>
    </r>
  </si>
  <si>
    <r>
      <t>Normalization: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"000"</t>
    </r>
    <r>
      <rPr>
        <sz val="11"/>
        <color theme="1"/>
        <rFont val="Aptos Narrow"/>
        <family val="2"/>
        <scheme val="minor"/>
      </rPr>
      <t xml:space="preserve"> resolves to </t>
    </r>
    <r>
      <rPr>
        <sz val="10"/>
        <color theme="1"/>
        <rFont val="Arial Unicode MS"/>
      </rPr>
      <t>"0", strictly not negative</t>
    </r>
    <r>
      <rPr>
        <sz val="11"/>
        <color theme="1"/>
        <rFont val="Aptos Narrow"/>
        <family val="2"/>
        <scheme val="minor"/>
      </rPr>
      <t>.</t>
    </r>
  </si>
  <si>
    <r>
      <t>Canonical Form:</t>
    </r>
    <r>
      <rPr>
        <sz val="11"/>
        <color theme="1"/>
        <rFont val="Aptos Narrow"/>
        <family val="2"/>
        <scheme val="minor"/>
      </rPr>
      <t xml:space="preserve"> "-0" normalizes to "0", strictly not negative.</t>
    </r>
  </si>
  <si>
    <r>
      <t>Normalization: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""</t>
    </r>
    <r>
      <rPr>
        <sz val="11"/>
        <color theme="1"/>
        <rFont val="Aptos Narrow"/>
        <family val="2"/>
        <scheme val="minor"/>
      </rPr>
      <t xml:space="preserve"> resolves to </t>
    </r>
    <r>
      <rPr>
        <sz val="10"/>
        <color theme="1"/>
        <rFont val="Arial Unicode MS"/>
      </rPr>
      <t>"0", strictly not negative</t>
    </r>
    <r>
      <rPr>
        <sz val="11"/>
        <color theme="1"/>
        <rFont val="Aptos Narrow"/>
        <family val="2"/>
        <scheme val="minor"/>
      </rPr>
      <t>.</t>
    </r>
  </si>
  <si>
    <r>
      <t>Normalization:</t>
    </r>
    <r>
      <rPr>
        <sz val="11"/>
        <color theme="1"/>
        <rFont val="Aptos Narrow"/>
        <family val="2"/>
        <scheme val="minor"/>
      </rPr>
      <t xml:space="preserve"> null resolves to </t>
    </r>
    <r>
      <rPr>
        <sz val="10"/>
        <color theme="1"/>
        <rFont val="Arial Unicode MS"/>
      </rPr>
      <t>"0", strictly not negative</t>
    </r>
    <r>
      <rPr>
        <sz val="11"/>
        <color theme="1"/>
        <rFont val="Aptos Narrow"/>
        <family val="2"/>
        <scheme val="minor"/>
      </rPr>
      <t>.</t>
    </r>
  </si>
  <si>
    <r>
      <t>Standard: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"1"</t>
    </r>
    <r>
      <rPr>
        <sz val="11"/>
        <color theme="1"/>
        <rFont val="Aptos Narrow"/>
        <family val="2"/>
        <scheme val="minor"/>
      </rPr>
      <t xml:space="preserve"> is positive.</t>
    </r>
  </si>
  <si>
    <r>
      <t>Standard: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"-1"</t>
    </r>
    <r>
      <rPr>
        <sz val="11"/>
        <color theme="1"/>
        <rFont val="Aptos Narrow"/>
        <family val="2"/>
        <scheme val="minor"/>
      </rPr>
      <t xml:space="preserve"> is negative.</t>
    </r>
  </si>
  <si>
    <t>-00123</t>
  </si>
  <si>
    <r>
      <t>Standard: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"0"</t>
    </r>
    <r>
      <rPr>
        <sz val="11"/>
        <color theme="1"/>
        <rFont val="Aptos Narrow"/>
        <family val="2"/>
        <scheme val="minor"/>
      </rPr>
      <t xml:space="preserve"> is "0", strictly non negative</t>
    </r>
  </si>
  <si>
    <r>
      <t>Magnitude:</t>
    </r>
    <r>
      <rPr>
        <sz val="11"/>
        <color theme="1"/>
        <rFont val="Aptos Narrow"/>
        <family val="2"/>
        <scheme val="minor"/>
      </rPr>
      <t xml:space="preserve"> Strips sign and leading zeros.</t>
    </r>
  </si>
  <si>
    <r>
      <t>Standard:</t>
    </r>
    <r>
      <rPr>
        <sz val="11"/>
        <color theme="1"/>
        <rFont val="Aptos Narrow"/>
        <family val="2"/>
        <scheme val="minor"/>
      </rPr>
      <t xml:space="preserve"> sign is stripped, </t>
    </r>
    <r>
      <rPr>
        <sz val="10"/>
        <color theme="1"/>
        <rFont val="Arial Unicode MS"/>
      </rPr>
      <t>"-1"</t>
    </r>
    <r>
      <rPr>
        <sz val="11"/>
        <color theme="1"/>
        <rFont val="Aptos Narrow"/>
        <family val="2"/>
        <scheme val="minor"/>
      </rPr>
      <t xml:space="preserve"> is coerced to "1".</t>
    </r>
  </si>
  <si>
    <r>
      <t>Canonical Form:</t>
    </r>
    <r>
      <rPr>
        <sz val="11"/>
        <color theme="1"/>
        <rFont val="Aptos Narrow"/>
        <family val="2"/>
        <scheme val="minor"/>
      </rPr>
      <t xml:space="preserve"> "-0" normalizes to "0", which is 0.</t>
    </r>
  </si>
  <si>
    <r>
      <t>Normalization: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"000"</t>
    </r>
    <r>
      <rPr>
        <sz val="11"/>
        <color theme="1"/>
        <rFont val="Aptos Narrow"/>
        <family val="2"/>
        <scheme val="minor"/>
      </rPr>
      <t xml:space="preserve"> resolves to </t>
    </r>
    <r>
      <rPr>
        <sz val="10"/>
        <color theme="1"/>
        <rFont val="Arial Unicode MS"/>
      </rPr>
      <t>"0", which is  0</t>
    </r>
    <r>
      <rPr>
        <b/>
        <sz val="11"/>
        <color theme="1"/>
        <rFont val="Aptos Narrow"/>
        <family val="2"/>
        <scheme val="minor"/>
      </rPr>
      <t>.</t>
    </r>
  </si>
  <si>
    <r>
      <t>Standard: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"0"</t>
    </r>
    <r>
      <rPr>
        <sz val="11"/>
        <color theme="1"/>
        <rFont val="Aptos Narrow"/>
        <family val="2"/>
        <scheme val="minor"/>
      </rPr>
      <t xml:space="preserve"> is 0</t>
    </r>
    <r>
      <rPr>
        <b/>
        <sz val="11"/>
        <color theme="1"/>
        <rFont val="Aptos Narrow"/>
        <family val="2"/>
        <scheme val="minor"/>
      </rPr>
      <t>.</t>
    </r>
  </si>
  <si>
    <r>
      <t>Normalization: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""</t>
    </r>
    <r>
      <rPr>
        <sz val="11"/>
        <color theme="1"/>
        <rFont val="Aptos Narrow"/>
        <family val="2"/>
        <scheme val="minor"/>
      </rPr>
      <t xml:space="preserve"> resolves to </t>
    </r>
    <r>
      <rPr>
        <sz val="10"/>
        <color theme="1"/>
        <rFont val="Arial Unicode MS"/>
      </rPr>
      <t>"0", which is 0.</t>
    </r>
  </si>
  <si>
    <r>
      <t>Normalization:</t>
    </r>
    <r>
      <rPr>
        <sz val="11"/>
        <color theme="1"/>
        <rFont val="Aptos Narrow"/>
        <family val="2"/>
        <scheme val="minor"/>
      </rPr>
      <t xml:space="preserve"> null resolves to </t>
    </r>
    <r>
      <rPr>
        <sz val="10"/>
        <color theme="1"/>
        <rFont val="Arial Unicode MS"/>
      </rPr>
      <t>"0", which is 0.</t>
    </r>
  </si>
  <si>
    <r>
      <t>Standard: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Correctly identifies positive.</t>
    </r>
  </si>
  <si>
    <r>
      <t>Standard:</t>
    </r>
    <r>
      <rPr>
        <sz val="11"/>
        <color theme="1"/>
        <rFont val="Aptos Narrow"/>
        <family val="2"/>
        <scheme val="minor"/>
      </rPr>
      <t xml:space="preserve"> Correctly identifies negative</t>
    </r>
  </si>
  <si>
    <t>00123</t>
  </si>
  <si>
    <r>
      <t>Normalization:</t>
    </r>
    <r>
      <rPr>
        <sz val="11"/>
        <color theme="1"/>
        <rFont val="Aptos Narrow"/>
        <family val="2"/>
        <scheme val="minor"/>
      </rPr>
      <t xml:space="preserve"> Strips leading zeros and identifies negative</t>
    </r>
  </si>
  <si>
    <r>
      <t>Normalization:</t>
    </r>
    <r>
      <rPr>
        <sz val="11"/>
        <color theme="1"/>
        <rFont val="Aptos Narrow"/>
        <family val="2"/>
        <scheme val="minor"/>
      </rPr>
      <t xml:space="preserve"> Strips leading zeros and identifies positive</t>
    </r>
  </si>
  <si>
    <t>abc</t>
  </si>
  <si>
    <r>
      <t xml:space="preserve">Inherited Error: </t>
    </r>
    <r>
      <rPr>
        <sz val="11"/>
        <color theme="1"/>
        <rFont val="Aptos Narrow"/>
        <family val="2"/>
        <scheme val="minor"/>
      </rPr>
      <t>Norm traps bad data.</t>
    </r>
  </si>
  <si>
    <r>
      <t>Same Lengths:</t>
    </r>
    <r>
      <rPr>
        <sz val="11"/>
        <color theme="1"/>
        <rFont val="Aptos Narrow"/>
        <family val="2"/>
        <scheme val="minor"/>
      </rPr>
      <t xml:space="preserve"> Alphabetical fallback.</t>
    </r>
  </si>
  <si>
    <r>
      <t>Different Signs:</t>
    </r>
    <r>
      <rPr>
        <sz val="11"/>
        <color theme="1"/>
        <rFont val="Aptos Narrow"/>
        <family val="2"/>
        <scheme val="minor"/>
      </rPr>
      <t xml:space="preserve"> Cross-sign trick handles it.</t>
    </r>
  </si>
  <si>
    <r>
      <t>Negatives (Diff Length):</t>
    </r>
    <r>
      <rPr>
        <sz val="11"/>
        <color theme="1"/>
        <rFont val="Aptos Narrow"/>
        <family val="2"/>
        <scheme val="minor"/>
      </rPr>
      <t xml:space="preserve"> Magnitude of -10 is larger, so value is smaller.</t>
    </r>
  </si>
  <si>
    <r>
      <t>Negatives (Same Length):</t>
    </r>
    <r>
      <rPr>
        <sz val="11"/>
        <color theme="1"/>
        <rFont val="Aptos Narrow"/>
        <family val="2"/>
        <scheme val="minor"/>
      </rPr>
      <t xml:space="preserve"> Inversion trick flips the alphabetical result.</t>
    </r>
  </si>
  <si>
    <r>
      <t>Normalization:</t>
    </r>
    <r>
      <rPr>
        <sz val="11"/>
        <color theme="1"/>
        <rFont val="Aptos Narrow"/>
        <family val="2"/>
        <scheme val="minor"/>
      </rPr>
      <t xml:space="preserve"> Both resolve to </t>
    </r>
    <r>
      <rPr>
        <sz val="10"/>
        <color theme="1"/>
        <rFont val="Aptos Narrow"/>
        <family val="2"/>
        <scheme val="minor"/>
      </rPr>
      <t>"7"</t>
    </r>
    <r>
      <rPr>
        <sz val="11"/>
        <color theme="1"/>
        <rFont val="Aptos Narrow"/>
        <family val="2"/>
        <scheme val="minor"/>
      </rPr>
      <t xml:space="preserve">, returns </t>
    </r>
    <r>
      <rPr>
        <sz val="10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.</t>
    </r>
  </si>
  <si>
    <r>
      <t>Different Lengths: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10 &gt; 2</t>
    </r>
    <r>
      <rPr>
        <sz val="11"/>
        <color theme="1"/>
        <rFont val="Aptos Narrow"/>
        <family val="2"/>
        <scheme val="minor"/>
      </rPr>
      <t>.</t>
    </r>
  </si>
  <si>
    <t>{0;0;0}</t>
  </si>
  <si>
    <t>{456;123}</t>
  </si>
  <si>
    <r>
      <t>Small String: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k</t>
    </r>
    <r>
      <rPr>
        <sz val="11"/>
        <color theme="1"/>
        <rFont val="Aptos Narrow"/>
        <family val="2"/>
        <scheme val="minor"/>
      </rPr>
      <t xml:space="preserve"> is larger than string length.</t>
    </r>
  </si>
  <si>
    <t>{456;124}</t>
  </si>
  <si>
    <t>{0;1}</t>
  </si>
  <si>
    <t>{500;500;1}</t>
  </si>
  <si>
    <t>{999;0;1;1}</t>
  </si>
  <si>
    <r>
      <t>Standard:</t>
    </r>
    <r>
      <rPr>
        <sz val="11"/>
        <color theme="1"/>
        <rFont val="Aptos Narrow"/>
        <family val="2"/>
        <scheme val="minor"/>
      </rPr>
      <t xml:space="preserve"> Simple addition, single chunk.</t>
    </r>
  </si>
  <si>
    <r>
      <t>Carry Propagation:</t>
    </r>
    <r>
      <rPr>
        <sz val="11"/>
        <color theme="1"/>
        <rFont val="Aptos Narrow"/>
        <family val="2"/>
        <scheme val="minor"/>
      </rPr>
      <t xml:space="preserve"> 14-digit overflow pushes a new chunk to the top.</t>
    </r>
  </si>
  <si>
    <r>
      <t>Padding Alignment:</t>
    </r>
    <r>
      <rPr>
        <sz val="11"/>
        <color theme="1"/>
        <rFont val="Aptos Narrow"/>
        <family val="2"/>
        <scheme val="minor"/>
      </rPr>
      <t xml:space="preserve"> Top-padding handles order mismatch gracefully.</t>
    </r>
  </si>
  <si>
    <r>
      <t>Multi-Chunk:</t>
    </r>
    <r>
      <rPr>
        <sz val="11"/>
        <color theme="1"/>
        <rFont val="Aptos Narrow"/>
        <family val="2"/>
        <scheme val="minor"/>
      </rPr>
      <t xml:space="preserve"> Numbers larger than </t>
    </r>
    <r>
      <rPr>
        <i/>
        <sz val="11"/>
        <color theme="1"/>
        <rFont val="Aptos Narrow"/>
        <family val="2"/>
        <scheme val="minor"/>
      </rPr>
      <t>10^14</t>
    </r>
    <r>
      <rPr>
        <sz val="11"/>
        <color theme="1"/>
        <rFont val="Aptos Narrow"/>
        <family val="2"/>
        <scheme val="minor"/>
      </rPr>
      <t xml:space="preserve"> split, sum, and carry.</t>
    </r>
  </si>
  <si>
    <r>
      <t>Zero Handling:</t>
    </r>
    <r>
      <rPr>
        <sz val="11"/>
        <color theme="1"/>
        <rFont val="Aptos Narrow"/>
        <family val="2"/>
        <scheme val="minor"/>
      </rPr>
      <t xml:space="preserve"> Ensures </t>
    </r>
    <r>
      <rPr>
        <sz val="10"/>
        <color theme="1"/>
        <rFont val="Aptos Narrow"/>
        <family val="2"/>
        <scheme val="minor"/>
      </rPr>
      <t>SEQUENCE</t>
    </r>
    <r>
      <rPr>
        <sz val="11"/>
        <color theme="1"/>
        <rFont val="Aptos Narrow"/>
        <family val="2"/>
        <scheme val="minor"/>
      </rPr>
      <t xml:space="preserve"> sizing doesn't break on base cases.</t>
    </r>
  </si>
  <si>
    <r>
      <t>Dirty Data (fail):</t>
    </r>
    <r>
      <rPr>
        <sz val="11"/>
        <color theme="1"/>
        <rFont val="Aptos Narrow"/>
        <family val="2"/>
        <scheme val="minor"/>
      </rPr>
      <t xml:space="preserve"> Normalization is required before calculating</t>
    </r>
  </si>
  <si>
    <r>
      <t>Simple, No Carry:</t>
    </r>
    <r>
      <rPr>
        <sz val="11"/>
        <color theme="1"/>
        <rFont val="Aptos Narrow"/>
        <family val="2"/>
        <scheme val="minor"/>
      </rPr>
      <t xml:space="preserve"> Chunks are less than </t>
    </r>
    <r>
      <rPr>
        <i/>
        <sz val="11"/>
        <color theme="1"/>
        <rFont val="Aptos Narrow"/>
        <family val="2"/>
        <scheme val="minor"/>
      </rPr>
      <t>10^3</t>
    </r>
    <r>
      <rPr>
        <sz val="11"/>
        <color theme="1"/>
        <rFont val="Aptos Narrow"/>
        <family val="2"/>
        <scheme val="minor"/>
      </rPr>
      <t>.</t>
    </r>
  </si>
  <si>
    <r>
      <t>Single Carry:</t>
    </r>
    <r>
      <rPr>
        <sz val="11"/>
        <color theme="1"/>
        <rFont val="Aptos Narrow"/>
        <family val="2"/>
        <scheme val="minor"/>
      </rPr>
      <t xml:space="preserve"> The bottom chunk overflows its base. </t>
    </r>
    <r>
      <rPr>
        <sz val="10"/>
        <color theme="1"/>
        <rFont val="Aptos Narrow"/>
        <family val="2"/>
        <scheme val="minor"/>
      </rPr>
      <t>1000</t>
    </r>
    <r>
      <rPr>
        <sz val="11"/>
        <color theme="1"/>
        <rFont val="Aptos Narrow"/>
        <family val="2"/>
        <scheme val="minor"/>
      </rPr>
      <t xml:space="preserve"> carries as </t>
    </r>
    <r>
      <rPr>
        <sz val="10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, leaving </t>
    </r>
    <r>
      <rPr>
        <sz val="10"/>
        <color theme="1"/>
        <rFont val="Aptos Narrow"/>
        <family val="2"/>
        <scheme val="minor"/>
      </rPr>
      <t>456</t>
    </r>
    <r>
      <rPr>
        <sz val="11"/>
        <color theme="1"/>
        <rFont val="Aptos Narrow"/>
        <family val="2"/>
        <scheme val="minor"/>
      </rPr>
      <t>.</t>
    </r>
  </si>
  <si>
    <r>
      <t>Exact Boundary:</t>
    </r>
    <r>
      <rPr>
        <sz val="11"/>
        <color theme="1"/>
        <rFont val="Aptos Narrow"/>
        <family val="2"/>
        <scheme val="minor"/>
      </rPr>
      <t xml:space="preserve"> Chunk equals the base, carries </t>
    </r>
    <r>
      <rPr>
        <sz val="10"/>
        <color theme="1"/>
        <rFont val="Aptos Narrow"/>
        <family val="2"/>
        <scheme val="minor"/>
      </rPr>
      <t xml:space="preserve">1, </t>
    </r>
    <r>
      <rPr>
        <sz val="11"/>
        <color theme="1"/>
        <rFont val="Aptos Narrow"/>
        <family val="2"/>
        <scheme val="minor"/>
      </rPr>
      <t xml:space="preserve">remainder </t>
    </r>
    <r>
      <rPr>
        <sz val="10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.</t>
    </r>
  </si>
  <si>
    <r>
      <t>New Top Chunk:</t>
    </r>
    <r>
      <rPr>
        <sz val="11"/>
        <color theme="1"/>
        <rFont val="Aptos Narrow"/>
        <family val="2"/>
        <scheme val="minor"/>
      </rPr>
      <t xml:space="preserve"> The top chunk overflows, adding a new chunk.</t>
    </r>
  </si>
  <si>
    <r>
      <t>Cascade:</t>
    </r>
    <r>
      <rPr>
        <sz val="11"/>
        <color theme="1"/>
        <rFont val="Aptos Narrow"/>
        <family val="2"/>
        <scheme val="minor"/>
      </rPr>
      <t xml:space="preserve"> Carries ripple through the chunks from first to last</t>
    </r>
    <r>
      <rPr>
        <sz val="10"/>
        <color theme="1"/>
        <rFont val="Aptos Narrow"/>
        <family val="2"/>
        <scheme val="minor"/>
      </rPr>
      <t>.</t>
    </r>
  </si>
  <si>
    <r>
      <t>Zero Base Case:</t>
    </r>
    <r>
      <rPr>
        <sz val="11"/>
        <color theme="1"/>
        <rFont val="Aptos Narrow"/>
        <family val="2"/>
        <scheme val="minor"/>
      </rPr>
      <t xml:space="preserve"> Array of zeros do not carry or create chunks.</t>
    </r>
  </si>
  <si>
    <t>input</t>
  </si>
  <si>
    <r>
      <rPr>
        <b/>
        <sz val="11"/>
        <color theme="1"/>
        <rFont val="Aptos Narrow"/>
        <family val="2"/>
        <scheme val="minor"/>
      </rPr>
      <t>Exact Match:</t>
    </r>
    <r>
      <rPr>
        <sz val="11"/>
        <color theme="1"/>
        <rFont val="Arial"/>
        <family val="2"/>
      </rPr>
      <t xml:space="preserve"> Identical arrays.</t>
    </r>
  </si>
  <si>
    <r>
      <rPr>
        <b/>
        <sz val="11"/>
        <color theme="1"/>
        <rFont val="Aptos Narrow"/>
        <family val="2"/>
        <scheme val="minor"/>
      </rPr>
      <t>Empty Upper Limbs:</t>
    </r>
    <r>
      <rPr>
        <sz val="11"/>
        <color theme="1"/>
        <rFont val="Arial"/>
        <family val="2"/>
      </rPr>
      <t xml:space="preserve"> </t>
    </r>
    <r>
      <rPr>
        <sz val="10"/>
        <color theme="1"/>
        <rFont val="Google Sans Text"/>
        <family val="2"/>
      </rPr>
      <t>b</t>
    </r>
    <r>
      <rPr>
        <sz val="11"/>
        <color theme="1"/>
        <rFont val="Arial"/>
        <family val="2"/>
      </rPr>
      <t xml:space="preserve"> expands to match </t>
    </r>
    <r>
      <rPr>
        <sz val="10"/>
        <color theme="1"/>
        <rFont val="Google Sans Text"/>
        <family val="2"/>
      </rPr>
      <t>a</t>
    </r>
    <r>
      <rPr>
        <sz val="11"/>
        <color theme="1"/>
        <rFont val="Arial"/>
        <family val="2"/>
      </rPr>
      <t>. Both evaluate identically.</t>
    </r>
  </si>
  <si>
    <r>
      <rPr>
        <b/>
        <sz val="11"/>
        <color theme="1"/>
        <rFont val="Aptos Narrow"/>
        <family val="2"/>
        <scheme val="minor"/>
      </rPr>
      <t>Differing Lengths (A &lt; B):</t>
    </r>
    <r>
      <rPr>
        <sz val="11"/>
        <color theme="1"/>
        <rFont val="Arial"/>
        <family val="2"/>
      </rPr>
      <t xml:space="preserve"> </t>
    </r>
    <r>
      <rPr>
        <sz val="10"/>
        <color theme="1"/>
        <rFont val="Google Sans Text"/>
        <family val="2"/>
      </rPr>
      <t>a</t>
    </r>
    <r>
      <rPr>
        <sz val="11"/>
        <color theme="1"/>
        <rFont val="Arial"/>
        <family val="2"/>
      </rPr>
      <t xml:space="preserve"> expands to </t>
    </r>
    <r>
      <rPr>
        <sz val="10"/>
        <color theme="1"/>
        <rFont val="Google Sans Text"/>
        <family val="2"/>
      </rPr>
      <t>{500; 0}</t>
    </r>
    <r>
      <rPr>
        <sz val="11"/>
        <color theme="1"/>
        <rFont val="Arial"/>
        <family val="2"/>
      </rPr>
      <t>. b's MSD is larger.</t>
    </r>
  </si>
  <si>
    <r>
      <rPr>
        <b/>
        <sz val="11"/>
        <color theme="1"/>
        <rFont val="Aptos Narrow"/>
        <family val="2"/>
        <scheme val="minor"/>
      </rPr>
      <t>Differing Lengths (A &gt; B):</t>
    </r>
    <r>
      <rPr>
        <sz val="11"/>
        <color theme="1"/>
        <rFont val="Arial"/>
        <family val="2"/>
      </rPr>
      <t xml:space="preserve"> </t>
    </r>
    <r>
      <rPr>
        <sz val="10"/>
        <color theme="1"/>
        <rFont val="Google Sans Text"/>
        <family val="2"/>
      </rPr>
      <t>b</t>
    </r>
    <r>
      <rPr>
        <sz val="11"/>
        <color theme="1"/>
        <rFont val="Arial"/>
        <family val="2"/>
      </rPr>
      <t xml:space="preserve"> expands to </t>
    </r>
    <r>
      <rPr>
        <sz val="10"/>
        <color theme="1"/>
        <rFont val="Google Sans Text"/>
        <family val="2"/>
      </rPr>
      <t>{999; 999; 0}</t>
    </r>
    <r>
      <rPr>
        <sz val="11"/>
        <color theme="1"/>
        <rFont val="Arial"/>
        <family val="2"/>
      </rPr>
      <t>. a's MSD is larger</t>
    </r>
    <r>
      <rPr>
        <sz val="11"/>
        <color theme="1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</si>
  <si>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>Same Length (LSD Diff):</t>
    </r>
    <r>
      <rPr>
        <sz val="11"/>
        <color theme="1"/>
        <rFont val="Arial"/>
        <family val="2"/>
      </rPr>
      <t xml:space="preserve"> Most significant limb matches</t>
    </r>
    <r>
      <rPr>
        <sz val="11"/>
        <color theme="1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</si>
  <si>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>Same Length (A &lt; B):</t>
    </r>
    <r>
      <rPr>
        <sz val="11"/>
        <color theme="1"/>
        <rFont val="Arial"/>
        <family val="2"/>
      </rPr>
      <t xml:space="preserve"> Most significant limb is smaller</t>
    </r>
    <r>
      <rPr>
        <sz val="11"/>
        <color theme="1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</si>
  <si>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>Same Length (A &gt; B):</t>
    </r>
    <r>
      <rPr>
        <sz val="11"/>
        <color theme="1"/>
        <rFont val="Arial"/>
        <family val="2"/>
      </rPr>
      <t xml:space="preserve"> Most significant limb is larger</t>
    </r>
    <r>
      <rPr>
        <sz val="11"/>
        <color theme="1"/>
        <rFont val="Aptos Narrow"/>
        <family val="2"/>
        <scheme val="minor"/>
      </rPr>
      <t>.</t>
    </r>
  </si>
  <si>
    <t>limbs={456;123}, k=3</t>
  </si>
  <si>
    <t>{234;678}</t>
  </si>
  <si>
    <t>{100;201}</t>
  </si>
  <si>
    <t>{0;100;1}</t>
  </si>
  <si>
    <t>{234;456;789}</t>
  </si>
  <si>
    <t>123-</t>
  </si>
  <si>
    <r>
      <rPr>
        <b/>
        <sz val="11"/>
        <color theme="1"/>
        <rFont val="Aptos Narrow"/>
        <family val="2"/>
        <scheme val="minor"/>
      </rPr>
      <t>Fail-Fast:</t>
    </r>
    <r>
      <rPr>
        <sz val="11"/>
        <color theme="1"/>
        <rFont val="Aptos Narrow"/>
        <family val="2"/>
        <scheme val="minor"/>
      </rPr>
      <t xml:space="preserve"> Trailing signs are rejected.</t>
    </r>
  </si>
  <si>
    <t>{3}</t>
  </si>
  <si>
    <t>{0}</t>
  </si>
  <si>
    <t>{5;1}</t>
  </si>
  <si>
    <t>{9;9}</t>
  </si>
  <si>
    <t>{2}</t>
  </si>
  <si>
    <t>{9}</t>
  </si>
  <si>
    <t>{90}</t>
  </si>
  <si>
    <r>
      <rPr>
        <b/>
        <sz val="11"/>
        <color theme="1"/>
        <rFont val="Aptos Narrow"/>
        <family val="2"/>
        <scheme val="minor"/>
      </rPr>
      <t>Standard:</t>
    </r>
    <r>
      <rPr>
        <sz val="11"/>
        <color theme="1"/>
        <rFont val="Aptos Narrow"/>
        <family val="2"/>
        <scheme val="minor"/>
      </rPr>
      <t xml:space="preserve"> single-limb subtraction.</t>
    </r>
  </si>
  <si>
    <r>
      <rPr>
        <b/>
        <sz val="11"/>
        <color theme="1"/>
        <rFont val="Aptos Narrow"/>
        <family val="2"/>
        <scheme val="minor"/>
      </rPr>
      <t>Cancellation:</t>
    </r>
    <r>
      <rPr>
        <sz val="11"/>
        <color theme="1"/>
        <rFont val="Aptos Narrow"/>
        <family val="2"/>
        <scheme val="minor"/>
      </rPr>
      <t xml:space="preserve"> Total cancellation results in exact </t>
    </r>
    <r>
      <rPr>
        <sz val="10"/>
        <color theme="1"/>
        <rFont val="Google Sans Text"/>
        <family val="2"/>
      </rPr>
      <t>{0}</t>
    </r>
    <r>
      <rPr>
        <sz val="11"/>
        <color theme="1"/>
        <rFont val="Arial"/>
        <family val="2"/>
      </rPr>
      <t xml:space="preserve"> array.</t>
    </r>
  </si>
  <si>
    <r>
      <rPr>
        <b/>
        <sz val="11"/>
        <color theme="1"/>
        <rFont val="Aptos Narrow"/>
        <family val="2"/>
        <scheme val="minor"/>
      </rPr>
      <t>Multi-zero trim:</t>
    </r>
    <r>
      <rPr>
        <sz val="11"/>
        <color theme="1"/>
        <rFont val="Aptos Narrow"/>
        <family val="2"/>
        <scheme val="minor"/>
      </rPr>
      <t xml:space="preserve"> Stripping multiple higher limbs. (105 - 103 = 2).</t>
    </r>
  </si>
  <si>
    <r>
      <rPr>
        <b/>
        <sz val="11"/>
        <color theme="1"/>
        <rFont val="Aptos Narrow"/>
        <family val="2"/>
        <scheme val="minor"/>
      </rPr>
      <t>Cascade:</t>
    </r>
    <r>
      <rPr>
        <sz val="11"/>
        <color theme="1"/>
        <rFont val="Aptos Narrow"/>
        <family val="2"/>
        <scheme val="minor"/>
      </rPr>
      <t xml:space="preserve"> multi-limb borrow and trailing zero trim. (100 - 1 = 99).</t>
    </r>
  </si>
  <si>
    <r>
      <rPr>
        <b/>
        <sz val="11"/>
        <color theme="1"/>
        <rFont val="Aptos Narrow"/>
        <family val="2"/>
        <scheme val="minor"/>
      </rPr>
      <t>Standard:</t>
    </r>
    <r>
      <rPr>
        <sz val="11"/>
        <color theme="1"/>
        <rFont val="Aptos Narrow"/>
        <family val="2"/>
        <scheme val="minor"/>
      </rPr>
      <t xml:space="preserve"> Single limb borrow. (23 - 8 = 15).</t>
    </r>
  </si>
  <si>
    <r>
      <rPr>
        <b/>
        <sz val="11"/>
        <color theme="1"/>
        <rFont val="Aptos Narrow"/>
        <family val="2"/>
        <scheme val="minor"/>
      </rPr>
      <t>Cascade:</t>
    </r>
    <r>
      <rPr>
        <sz val="11"/>
        <color theme="1"/>
        <rFont val="Aptos Narrow"/>
        <family val="2"/>
        <scheme val="minor"/>
      </rPr>
      <t xml:space="preserve"> Borrows propagate through a middle zero. (105 - 96 = 9).</t>
    </r>
  </si>
  <si>
    <t>Test Summary</t>
  </si>
  <si>
    <t>Functions</t>
  </si>
  <si>
    <t>Unit Tests</t>
  </si>
  <si>
    <t>a={500; 100}
b={600; 100}
k=3</t>
  </si>
  <si>
    <t>a={123; 456}
b={111; 222}
k=3</t>
  </si>
  <si>
    <t>a={0; 500}
b={0; 600}
k=3</t>
  </si>
  <si>
    <t>a={123; 456; 789}
b={111}
k=3</t>
  </si>
  <si>
    <t>a={999}
b={1; 0}
k=3</t>
  </si>
  <si>
    <t>a=abc
b=123
k=3</t>
  </si>
  <si>
    <t>a={5}
b={2}
k=1</t>
  </si>
  <si>
    <t>a={3; 2}
b={8; 0}
k=1</t>
  </si>
  <si>
    <t>a={0; 0; 1}
b={1; 0; 0}
k=1</t>
  </si>
  <si>
    <t>a={1; 0; 0}
b={1; 0; 0}
k=1</t>
  </si>
  <si>
    <t>a={5; 0; 1}
b={3; 0; 1}
k=1</t>
  </si>
  <si>
    <t>a={5; 0; 1}
b={6; 9; 0}
k=1</t>
  </si>
  <si>
    <t>a={50; 1}
b={60}
k=2</t>
  </si>
  <si>
    <t>a={123; 456}
b={123; 456}</t>
  </si>
  <si>
    <t>a={999; 124}
b={999; 123}</t>
  </si>
  <si>
    <t>a={500; 100}
b={500; 200}</t>
  </si>
  <si>
    <t>a={2; 50}
b={1; 50}</t>
  </si>
  <si>
    <t>a={1; 2; 3}
b={999; 999}</t>
  </si>
  <si>
    <t>a={500}
b={1; 2}</t>
  </si>
  <si>
    <t>a={5; 0; 0}
b={5}</t>
  </si>
  <si>
    <t>limbs={456;123}
k=3</t>
  </si>
  <si>
    <t>limbs={1456;123}
k=3</t>
  </si>
  <si>
    <t>limbs={1000;0}
k=3</t>
  </si>
  <si>
    <t>limbs={500;1500}
k=3</t>
  </si>
  <si>
    <t>limbs={1999;1999;999}
k=3</t>
  </si>
  <si>
    <t>limbs={0;0;0}
k=3</t>
  </si>
  <si>
    <t>a=10
b=2</t>
  </si>
  <si>
    <t>a=123
b=124</t>
  </si>
  <si>
    <t>a=5
b=-5</t>
  </si>
  <si>
    <t>a=-10
b=-2</t>
  </si>
  <si>
    <t>a=-124
b=-123</t>
  </si>
  <si>
    <t>a=007
b=7</t>
  </si>
  <si>
    <t>limbs={567;234;1}, k=3</t>
  </si>
  <si>
    <t>limbs={123}, k=5</t>
  </si>
  <si>
    <t>limbs={2;0;1}, k=3</t>
  </si>
  <si>
    <t>limbs={5}, k=3</t>
  </si>
  <si>
    <r>
      <t>Single Limb:</t>
    </r>
    <r>
      <rPr>
        <sz val="11"/>
        <color theme="1"/>
        <rFont val="Aptos Narrow"/>
        <family val="2"/>
        <scheme val="minor"/>
      </rPr>
      <t xml:space="preserve"> Bypasses padding logic entirely.</t>
    </r>
  </si>
  <si>
    <r>
      <t>Standard:</t>
    </r>
    <r>
      <rPr>
        <sz val="11"/>
        <color theme="1"/>
        <rFont val="Aptos Narrow"/>
        <family val="2"/>
        <scheme val="minor"/>
      </rPr>
      <t xml:space="preserve"> First limb unpadded, rest padded.</t>
    </r>
  </si>
  <si>
    <t>op=ADD
max_items=</t>
  </si>
  <si>
    <t>op=ADD
max_items=2</t>
  </si>
  <si>
    <t>op=ADD
max_items=1000</t>
  </si>
  <si>
    <t>op=MUL
max_items=</t>
  </si>
  <si>
    <t>op=MUL
max_items=100</t>
  </si>
  <si>
    <t>op=MUL
max_items=32767</t>
  </si>
  <si>
    <t>a={5}
b={3}
sign_a=1
sign_b=1
k=1</t>
  </si>
  <si>
    <t>a={5}
b={3}
sign_a=-1
sign_b=-1
k=1</t>
  </si>
  <si>
    <t>a={5}
b={3}
sign_a=1
sign_b=-1
k=1</t>
  </si>
  <si>
    <t>a={3}
b={5}
sign_a=1
sign_b=-1
k=1</t>
  </si>
  <si>
    <t>a={5}
b={5}
sign_a=1
sign_b=-1
k=1</t>
  </si>
  <si>
    <t>{8;1}</t>
  </si>
  <si>
    <t>{8;-1}</t>
  </si>
  <si>
    <t>{2;1}</t>
  </si>
  <si>
    <t>{2;-1}</t>
  </si>
  <si>
    <t>{0;0}</t>
  </si>
  <si>
    <t>{4;1}</t>
  </si>
  <si>
    <t>{4;-1}</t>
  </si>
  <si>
    <t>{5;2;-1}</t>
  </si>
  <si>
    <t>{0;9;1;1}</t>
  </si>
  <si>
    <t>a={2;1}
b={8}
sign_a=1
sign_b=-1
k=1</t>
  </si>
  <si>
    <t>a={8}
b={2;1}
sign_a=1
sign_b=-1
k=1</t>
  </si>
  <si>
    <t>a={0;1}
b={0;1}
sign_a=1
sign_b=-1
k=1</t>
  </si>
  <si>
    <t>a={0}
b={5;2}
sign_a=0
sign_b=-1
k=1</t>
  </si>
  <si>
    <t>a={5;9}
b={5;9}
sign_a=1
sign_b=1
k=1</t>
  </si>
  <si>
    <r>
      <rPr>
        <b/>
        <sz val="11"/>
        <color theme="1"/>
        <rFont val="Aptos Narrow"/>
        <family val="2"/>
        <scheme val="minor"/>
      </rPr>
      <t>Positive Addition:</t>
    </r>
    <r>
      <rPr>
        <sz val="11"/>
        <color theme="1"/>
        <rFont val="Aptos Narrow"/>
        <family val="2"/>
        <scheme val="minor"/>
      </rPr>
      <t xml:space="preserve"> 5 + 3 = 8. Sign is 1.</t>
    </r>
  </si>
  <si>
    <r>
      <rPr>
        <b/>
        <sz val="11"/>
        <color theme="1"/>
        <rFont val="Aptos Narrow"/>
        <family val="2"/>
        <scheme val="minor"/>
      </rPr>
      <t>Negative Addition:</t>
    </r>
    <r>
      <rPr>
        <sz val="11"/>
        <color theme="1"/>
        <rFont val="Aptos Narrow"/>
        <family val="2"/>
        <scheme val="minor"/>
      </rPr>
      <t xml:space="preserve"> -5 + (-3) = -8. Sign is -1.</t>
    </r>
  </si>
  <si>
    <r>
      <rPr>
        <b/>
        <sz val="11"/>
        <color theme="1"/>
        <rFont val="Aptos Narrow"/>
        <family val="2"/>
        <scheme val="minor"/>
      </rPr>
      <t>Subtraction (A &gt; B):</t>
    </r>
    <r>
      <rPr>
        <sz val="11"/>
        <color theme="1"/>
        <rFont val="Aptos Narrow"/>
        <family val="2"/>
        <scheme val="minor"/>
      </rPr>
      <t xml:space="preserve"> 5 + (-3) = 2. Takes sign_a.</t>
    </r>
  </si>
  <si>
    <r>
      <rPr>
        <b/>
        <sz val="11"/>
        <color theme="1"/>
        <rFont val="Aptos Narrow"/>
        <family val="2"/>
        <scheme val="minor"/>
      </rPr>
      <t>Subtraction (A &lt; B):</t>
    </r>
    <r>
      <rPr>
        <sz val="11"/>
        <color theme="1"/>
        <rFont val="Aptos Narrow"/>
        <family val="2"/>
        <scheme val="minor"/>
      </rPr>
      <t xml:space="preserve"> 3 + (-5) = -2. Routes B first, takes sign_b.</t>
    </r>
  </si>
  <si>
    <r>
      <rPr>
        <b/>
        <sz val="11"/>
        <color theme="1"/>
        <rFont val="Aptos Narrow"/>
        <family val="2"/>
        <scheme val="minor"/>
      </rPr>
      <t xml:space="preserve">Cancellation: </t>
    </r>
    <r>
      <rPr>
        <sz val="11"/>
        <color theme="1"/>
        <rFont val="Aptos Narrow"/>
        <family val="2"/>
        <scheme val="minor"/>
      </rPr>
      <t>5 + (-5) = 0. Sign resets to 0.</t>
    </r>
  </si>
  <si>
    <r>
      <rPr>
        <b/>
        <sz val="11"/>
        <color theme="1"/>
        <rFont val="Aptos Narrow"/>
        <family val="2"/>
        <scheme val="minor"/>
      </rPr>
      <t>Asymmetric:</t>
    </r>
    <r>
      <rPr>
        <sz val="11"/>
        <color theme="1"/>
        <rFont val="Aptos Narrow"/>
        <family val="2"/>
        <scheme val="minor"/>
      </rPr>
      <t xml:space="preserve"> (A &gt; B): 12 + (-8) = 4. Correctly pads and identifies {2;1} &gt; {8;0}.</t>
    </r>
  </si>
  <si>
    <r>
      <rPr>
        <b/>
        <sz val="11"/>
        <color theme="1"/>
        <rFont val="Aptos Narrow"/>
        <family val="2"/>
        <scheme val="minor"/>
      </rPr>
      <t>Cancellation:</t>
    </r>
    <r>
      <rPr>
        <sz val="11"/>
        <color theme="1"/>
        <rFont val="Aptos Narrow"/>
        <family val="2"/>
        <scheme val="minor"/>
      </rPr>
      <t xml:space="preserve"> 10 + (-10) = 0. Multi-limb test, sign resets to 0.</t>
    </r>
  </si>
  <si>
    <r>
      <rPr>
        <b/>
        <sz val="11"/>
        <color theme="1"/>
        <rFont val="Aptos Narrow"/>
        <family val="2"/>
        <scheme val="minor"/>
      </rPr>
      <t>Asymmetric:</t>
    </r>
    <r>
      <rPr>
        <sz val="11"/>
        <color theme="1"/>
        <rFont val="Aptos Narrow"/>
        <family val="2"/>
        <scheme val="minor"/>
      </rPr>
      <t xml:space="preserve"> (A &lt; B): 8 + (-12) = -4. Routes to USub(b, a), no negative carry crash.</t>
    </r>
  </si>
  <si>
    <r>
      <rPr>
        <b/>
        <sz val="11"/>
        <color theme="1"/>
        <rFont val="Aptos Narrow"/>
        <family val="2"/>
        <scheme val="minor"/>
      </rPr>
      <t xml:space="preserve">Zero Interaction: </t>
    </r>
    <r>
      <rPr>
        <sz val="11"/>
        <color theme="1"/>
        <rFont val="Aptos Narrow"/>
        <family val="2"/>
        <scheme val="minor"/>
      </rPr>
      <t>0 + (-25) = -25. Routes to addition, handles non-zero array.</t>
    </r>
  </si>
  <si>
    <r>
      <rPr>
        <b/>
        <sz val="11"/>
        <color theme="1"/>
        <rFont val="Aptos Narrow"/>
        <family val="2"/>
        <scheme val="minor"/>
      </rPr>
      <t>Addition Carry:</t>
    </r>
    <r>
      <rPr>
        <sz val="11"/>
        <color theme="1"/>
        <rFont val="Aptos Narrow"/>
        <family val="2"/>
        <scheme val="minor"/>
      </rPr>
      <t xml:space="preserve"> 95 + 95 = 190. Limbs expand and sign appended properly.</t>
    </r>
  </si>
  <si>
    <r>
      <rPr>
        <b/>
        <sz val="11"/>
        <color theme="1"/>
        <rFont val="Aptos Narrow"/>
        <family val="2"/>
        <scheme val="minor"/>
      </rPr>
      <t>Limb Size</t>
    </r>
    <r>
      <rPr>
        <sz val="11"/>
        <color theme="1"/>
        <rFont val="Aptos Narrow"/>
        <family val="2"/>
        <scheme val="minor"/>
      </rPr>
      <t>: Correctly respects k &gt; 1. (150 - 60 = 90).</t>
    </r>
  </si>
  <si>
    <t>Standard positive addition.</t>
  </si>
  <si>
    <t>Strips leading zeros before routing.</t>
  </si>
  <si>
    <t>Forces carry across limb boundary.</t>
  </si>
  <si>
    <r>
      <t xml:space="preserve">Exact zero on cancellation (no </t>
    </r>
    <r>
      <rPr>
        <sz val="10"/>
        <color rgb="FF444746"/>
        <rFont val="Google Sans Text"/>
        <family val="2"/>
      </rPr>
      <t>-0</t>
    </r>
    <r>
      <rPr>
        <sz val="11"/>
        <color rgb="FF1F1F1F"/>
        <rFont val="Arial"/>
        <family val="2"/>
      </rPr>
      <t>).</t>
    </r>
  </si>
  <si>
    <t>Invalid chars bubble up native errors.</t>
  </si>
  <si>
    <t>Double negative resolves correctly.</t>
  </si>
  <si>
    <t>Forces borrow across limb boundary.</t>
  </si>
  <si>
    <r>
      <t xml:space="preserve">Zero inversion prevents invalid </t>
    </r>
    <r>
      <rPr>
        <sz val="10"/>
        <color rgb="FF444746"/>
        <rFont val="Google Sans Text"/>
        <family val="2"/>
      </rPr>
      <t>-0</t>
    </r>
    <r>
      <rPr>
        <sz val="11"/>
        <color rgb="FF1F1F1F"/>
        <rFont val="Arial"/>
        <family val="2"/>
      </rPr>
      <t xml:space="preserve"> state.</t>
    </r>
  </si>
  <si>
    <t>579</t>
  </si>
  <si>
    <t>-50</t>
  </si>
  <si>
    <t>1000000000000000</t>
  </si>
  <si>
    <t>a=123
b=456</t>
  </si>
  <si>
    <t>a=0050
b=-00100</t>
  </si>
  <si>
    <t>a=999999999999999
b=1</t>
  </si>
  <si>
    <t>a=-50
b=50</t>
  </si>
  <si>
    <t>a=12a
b=5</t>
  </si>
  <si>
    <t>a=10
b=-20</t>
  </si>
  <si>
    <t>a=1000000000000000
b=1</t>
  </si>
  <si>
    <t>a=0
b=0</t>
  </si>
  <si>
    <t>30</t>
  </si>
  <si>
    <t>999999999999999</t>
  </si>
  <si>
    <t>{579}</t>
  </si>
  <si>
    <t>{0;9;1}</t>
  </si>
  <si>
    <t>{5;10}</t>
  </si>
  <si>
    <t>range={10,20,30}</t>
  </si>
  <si>
    <t>range={50,-25,-25}</t>
  </si>
  <si>
    <t>range={100,,50}</t>
  </si>
  <si>
    <t>range={10, foo, 20}</t>
  </si>
  <si>
    <t>150</t>
  </si>
  <si>
    <t>60</t>
  </si>
  <si>
    <t>range={123}</t>
  </si>
  <si>
    <t>range=123</t>
  </si>
  <si>
    <t>strs={95,95}
k=1</t>
  </si>
  <si>
    <t>strs={123,456}
k=3</t>
  </si>
  <si>
    <t>strs={1000,5}
k=2</t>
  </si>
  <si>
    <t>strs={0,0}
k=2</t>
  </si>
  <si>
    <t>input={123, 456}
k=2</t>
  </si>
  <si>
    <t>input=1234
k=2</t>
  </si>
  <si>
    <t>input={123; 456}
k=2</t>
  </si>
  <si>
    <t>{34;12}</t>
  </si>
  <si>
    <t>{23,56;1,4}</t>
  </si>
  <si>
    <r>
      <rPr>
        <b/>
        <sz val="11"/>
        <color theme="1"/>
        <rFont val="Aptos Narrow"/>
        <family val="2"/>
        <scheme val="minor"/>
      </rPr>
      <t>Horizontal Vector:</t>
    </r>
    <r>
      <rPr>
        <sz val="11"/>
        <color theme="1"/>
        <rFont val="Aptos Narrow"/>
        <family val="2"/>
        <scheme val="minor"/>
      </rPr>
      <t xml:space="preserve"> Evaluates 1x2 dimensions and routes to SplitVector.</t>
    </r>
  </si>
  <si>
    <r>
      <rPr>
        <b/>
        <sz val="11"/>
        <color theme="1"/>
        <rFont val="Aptos Narrow"/>
        <family val="2"/>
        <scheme val="minor"/>
      </rPr>
      <t xml:space="preserve">Vertical Vector: </t>
    </r>
    <r>
      <rPr>
        <sz val="11"/>
        <color theme="1"/>
        <rFont val="Aptos Narrow"/>
        <family val="2"/>
        <scheme val="minor"/>
      </rPr>
      <t>SplitVector realigns vertical array</t>
    </r>
  </si>
  <si>
    <r>
      <rPr>
        <b/>
        <sz val="11"/>
        <color theme="1"/>
        <rFont val="Aptos Narrow"/>
        <family val="2"/>
        <scheme val="minor"/>
      </rPr>
      <t>Scalar:</t>
    </r>
    <r>
      <rPr>
        <sz val="11"/>
        <color theme="1"/>
        <rFont val="Aptos Narrow"/>
        <family val="2"/>
        <scheme val="minor"/>
      </rPr>
      <t xml:space="preserve"> Evaluates 1x1 dimensions and routes to SplitScalar.</t>
    </r>
  </si>
  <si>
    <r>
      <rPr>
        <b/>
        <sz val="11"/>
        <color theme="1"/>
        <rFont val="Aptos Narrow"/>
        <family val="2"/>
        <scheme val="minor"/>
      </rPr>
      <t>Single Limb Broadcast:</t>
    </r>
    <r>
      <rPr>
        <sz val="11"/>
        <color rgb="FF1F1F1F"/>
        <rFont val="Arial"/>
        <family val="2"/>
      </rPr>
      <t xml:space="preserve"> Standard 1x2 array with no carry.</t>
    </r>
  </si>
  <si>
    <r>
      <rPr>
        <b/>
        <sz val="11"/>
        <color theme="1"/>
        <rFont val="Aptos Narrow"/>
        <family val="2"/>
        <scheme val="minor"/>
      </rPr>
      <t>Multi-Limb Grid:</t>
    </r>
    <r>
      <rPr>
        <sz val="11"/>
        <color rgb="FF1F1F1F"/>
        <rFont val="Arial"/>
        <family val="2"/>
      </rPr>
      <t xml:space="preserve"> 2D array collapses and propagates carries.</t>
    </r>
  </si>
  <si>
    <r>
      <rPr>
        <b/>
        <sz val="11"/>
        <color theme="1"/>
        <rFont val="Aptos Narrow"/>
        <family val="2"/>
        <scheme val="minor"/>
      </rPr>
      <t>Asymmetric:</t>
    </r>
    <r>
      <rPr>
        <sz val="11"/>
        <color rgb="FF1F1F1F"/>
        <rFont val="Arial"/>
        <family val="2"/>
      </rPr>
      <t xml:space="preserve"> Padding aligns unit digits before matrix generation.</t>
    </r>
  </si>
  <si>
    <r>
      <rPr>
        <b/>
        <sz val="11"/>
        <color theme="1"/>
        <rFont val="Aptos Narrow"/>
        <family val="2"/>
        <scheme val="minor"/>
      </rPr>
      <t>Zero Handing:</t>
    </r>
    <r>
      <rPr>
        <sz val="11"/>
        <color rgb="FF1F1F1F"/>
        <rFont val="Arial"/>
        <family val="2"/>
      </rPr>
      <t xml:space="preserve"> Grid calculates cleanly without #N/A or #VALUE!</t>
    </r>
  </si>
  <si>
    <r>
      <rPr>
        <b/>
        <sz val="11"/>
        <color theme="1"/>
        <rFont val="Aptos Narrow"/>
        <family val="2"/>
        <scheme val="minor"/>
      </rPr>
      <t>Fail-Fast Error:</t>
    </r>
    <r>
      <rPr>
        <sz val="11"/>
        <color rgb="FF1F1F1F"/>
        <rFont val="Arial"/>
        <family val="2"/>
      </rPr>
      <t xml:space="preserve"> Corrupt data bubbles up instantly.</t>
    </r>
  </si>
  <si>
    <r>
      <rPr>
        <b/>
        <sz val="11"/>
        <color theme="1"/>
        <rFont val="Aptos Narrow"/>
        <family val="2"/>
        <scheme val="minor"/>
      </rPr>
      <t>Horizontal Flat Sum:</t>
    </r>
    <r>
      <rPr>
        <sz val="11"/>
        <color rgb="FF1F1F1F"/>
        <rFont val="Arial"/>
        <family val="2"/>
      </rPr>
      <t xml:space="preserve"> Maps and sums a 1D row.</t>
    </r>
  </si>
  <si>
    <r>
      <rPr>
        <b/>
        <sz val="11"/>
        <color theme="1"/>
        <rFont val="Aptos Narrow"/>
        <family val="2"/>
        <scheme val="minor"/>
      </rPr>
      <t>Cancellation:</t>
    </r>
    <r>
      <rPr>
        <sz val="11"/>
        <color rgb="FF1F1F1F"/>
        <rFont val="Arial"/>
        <family val="2"/>
      </rPr>
      <t xml:space="preserve"> Evaluates routing of equal positive and negative limb arrays.</t>
    </r>
  </si>
  <si>
    <r>
      <rPr>
        <b/>
        <sz val="11"/>
        <color theme="1"/>
        <rFont val="Aptos Narrow"/>
        <family val="2"/>
        <scheme val="minor"/>
      </rPr>
      <t>Ignore Blanks:</t>
    </r>
    <r>
      <rPr>
        <sz val="11"/>
        <color rgb="FF1F1F1F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Empty rows dropped silently</t>
    </r>
    <r>
      <rPr>
        <sz val="11"/>
        <color rgb="FF1F1F1F"/>
        <rFont val="Arial"/>
        <family val="2"/>
      </rPr>
      <t>.</t>
    </r>
  </si>
  <si>
    <r>
      <t>1x1 Array:</t>
    </r>
    <r>
      <rPr>
        <sz val="11"/>
        <color theme="1"/>
        <rFont val="Aptos Narrow"/>
        <family val="2"/>
        <scheme val="minor"/>
      </rPr>
      <t xml:space="preserve"> Trivially handles single items</t>
    </r>
  </si>
  <si>
    <r>
      <rPr>
        <b/>
        <sz val="11"/>
        <color theme="1"/>
        <rFont val="Aptos Narrow"/>
        <family val="2"/>
        <scheme val="minor"/>
      </rPr>
      <t>Scalar:</t>
    </r>
    <r>
      <rPr>
        <sz val="11"/>
        <color theme="1"/>
        <rFont val="Aptos Narrow"/>
        <family val="2"/>
        <scheme val="minor"/>
      </rPr>
      <t xml:space="preserve"> Trivially handles single items</t>
    </r>
  </si>
  <si>
    <t>range=</t>
  </si>
  <si>
    <r>
      <rPr>
        <b/>
        <sz val="11"/>
        <color theme="1"/>
        <rFont val="Aptos Narrow"/>
        <family val="2"/>
        <scheme val="minor"/>
      </rPr>
      <t>Normalisation:</t>
    </r>
    <r>
      <rPr>
        <sz val="11"/>
        <color theme="1"/>
        <rFont val="Aptos Narrow"/>
        <family val="2"/>
        <scheme val="minor"/>
      </rPr>
      <t xml:space="preserve"> Coerces missing values to zero</t>
    </r>
  </si>
  <si>
    <t>a={999}
b={999}
k=3</t>
  </si>
  <si>
    <t>a={456; 123}
b={2}
k=3</t>
  </si>
  <si>
    <t>a={0; 1}
b={0; 1}
k=3</t>
  </si>
  <si>
    <t>a={999; 999}
b={999; 999}
k=3</t>
  </si>
  <si>
    <t>a={0; 0; 0}
b={5}
k=3</t>
  </si>
  <si>
    <t>{1;998}</t>
  </si>
  <si>
    <t>{912;246}</t>
  </si>
  <si>
    <t>{0;0;1}</t>
  </si>
  <si>
    <t>{1;0;998;999}</t>
  </si>
  <si>
    <t>a=999
b=999</t>
  </si>
  <si>
    <t>a=-123
b=456</t>
  </si>
  <si>
    <t>a=-123
b=-456</t>
  </si>
  <si>
    <t>a=000
b=123456789</t>
  </si>
  <si>
    <t>a=1
b=999999999999999999</t>
  </si>
  <si>
    <t>a=-0
b=555</t>
  </si>
  <si>
    <t>999999999999999999</t>
  </si>
  <si>
    <t>998001</t>
  </si>
  <si>
    <t>-56088</t>
  </si>
  <si>
    <t>56088</t>
  </si>
  <si>
    <r>
      <rPr>
        <b/>
        <sz val="11"/>
        <color theme="1"/>
        <rFont val="Aptos Narrow"/>
        <family val="2"/>
        <scheme val="minor"/>
      </rPr>
      <t>Single limb:</t>
    </r>
    <r>
      <rPr>
        <sz val="11"/>
        <color theme="1"/>
        <rFont val="Aptos Narrow"/>
        <family val="2"/>
        <scheme val="minor"/>
      </rPr>
      <t xml:space="preserve"> max bounds (999  * 999 = 998,001)</t>
    </r>
  </si>
  <si>
    <r>
      <rPr>
        <b/>
        <sz val="11"/>
        <color theme="1"/>
        <rFont val="Aptos Narrow"/>
        <family val="2"/>
        <scheme val="minor"/>
      </rPr>
      <t>Multi-limb:</t>
    </r>
    <r>
      <rPr>
        <sz val="11"/>
        <color theme="1"/>
        <rFont val="Aptos Narrow"/>
        <family val="2"/>
        <scheme val="minor"/>
      </rPr>
      <t xml:space="preserve"> limbs  * scalar (123,456  * 2 = 246,912)</t>
    </r>
  </si>
  <si>
    <r>
      <rPr>
        <b/>
        <sz val="11"/>
        <color theme="1"/>
        <rFont val="Aptos Narrow"/>
        <family val="2"/>
        <scheme val="minor"/>
      </rPr>
      <t>Shift/Padding:</t>
    </r>
    <r>
      <rPr>
        <sz val="11"/>
        <color theme="1"/>
        <rFont val="Aptos Narrow"/>
        <family val="2"/>
        <scheme val="minor"/>
      </rPr>
      <t xml:space="preserve"> verification (1,000  * 1,000 = 1,000,000)</t>
    </r>
  </si>
  <si>
    <r>
      <rPr>
        <b/>
        <sz val="11"/>
        <color theme="1"/>
        <rFont val="Aptos Narrow"/>
        <family val="2"/>
        <scheme val="minor"/>
      </rPr>
      <t>Multi-limb:</t>
    </r>
    <r>
      <rPr>
        <sz val="11"/>
        <color theme="1"/>
        <rFont val="Aptos Narrow"/>
        <family val="2"/>
        <scheme val="minor"/>
      </rPr>
      <t xml:space="preserve"> block carry cascade (999,999^2)</t>
    </r>
  </si>
  <si>
    <r>
      <rPr>
        <b/>
        <sz val="11"/>
        <color theme="1"/>
        <rFont val="Aptos Narrow"/>
        <family val="2"/>
        <scheme val="minor"/>
      </rPr>
      <t>Zero:</t>
    </r>
    <r>
      <rPr>
        <sz val="11"/>
        <color theme="1"/>
        <rFont val="Aptos Narrow"/>
        <family val="2"/>
        <scheme val="minor"/>
      </rPr>
      <t xml:space="preserve"> array resolution (native cancellation)</t>
    </r>
  </si>
  <si>
    <r>
      <rPr>
        <b/>
        <sz val="11"/>
        <color theme="1"/>
        <rFont val="Aptos Narrow"/>
        <family val="2"/>
        <scheme val="minor"/>
      </rPr>
      <t>Standard:</t>
    </r>
    <r>
      <rPr>
        <sz val="11"/>
        <color theme="1"/>
        <rFont val="Aptos Narrow"/>
        <family val="2"/>
        <scheme val="minor"/>
      </rPr>
      <t xml:space="preserve"> boundary max check</t>
    </r>
  </si>
  <si>
    <r>
      <rPr>
        <b/>
        <sz val="11"/>
        <color theme="1"/>
        <rFont val="Aptos Narrow"/>
        <family val="2"/>
        <scheme val="minor"/>
      </rPr>
      <t>Sign:</t>
    </r>
    <r>
      <rPr>
        <sz val="11"/>
        <color theme="1"/>
        <rFont val="Aptos Narrow"/>
        <family val="2"/>
        <scheme val="minor"/>
      </rPr>
      <t xml:space="preserve"> Double inversion is positive</t>
    </r>
  </si>
  <si>
    <r>
      <rPr>
        <b/>
        <sz val="11"/>
        <color theme="1"/>
        <rFont val="Aptos Narrow"/>
        <family val="2"/>
        <scheme val="minor"/>
      </rPr>
      <t>Sign:</t>
    </r>
    <r>
      <rPr>
        <sz val="11"/>
        <color theme="1"/>
        <rFont val="Aptos Narrow"/>
        <family val="2"/>
        <scheme val="minor"/>
      </rPr>
      <t xml:space="preserve"> Negative * positive is negative</t>
    </r>
  </si>
  <si>
    <r>
      <rPr>
        <b/>
        <sz val="11"/>
        <color theme="1"/>
        <rFont val="Aptos Narrow"/>
        <family val="2"/>
        <scheme val="minor"/>
      </rPr>
      <t xml:space="preserve">Zero: </t>
    </r>
    <r>
      <rPr>
        <sz val="11"/>
        <color theme="1"/>
        <rFont val="Aptos Narrow"/>
        <family val="2"/>
        <scheme val="minor"/>
      </rPr>
      <t>Complete zero short-circuit bypass</t>
    </r>
  </si>
  <si>
    <r>
      <rPr>
        <b/>
        <sz val="11"/>
        <color theme="1"/>
        <rFont val="Aptos Narrow"/>
        <family val="2"/>
        <scheme val="minor"/>
      </rPr>
      <t>Asymmetry:</t>
    </r>
    <r>
      <rPr>
        <sz val="11"/>
        <color theme="1"/>
        <rFont val="Aptos Narrow"/>
        <family val="2"/>
        <scheme val="minor"/>
      </rPr>
      <t xml:space="preserve"> Identity property (Extreme length asymmetry)</t>
    </r>
  </si>
  <si>
    <r>
      <rPr>
        <b/>
        <sz val="11"/>
        <color theme="1"/>
        <rFont val="Aptos Narrow"/>
        <family val="2"/>
        <scheme val="minor"/>
      </rPr>
      <t>Zero:</t>
    </r>
    <r>
      <rPr>
        <sz val="11"/>
        <color theme="1"/>
        <rFont val="Aptos Narrow"/>
        <family val="2"/>
        <scheme val="minor"/>
      </rPr>
      <t xml:space="preserve"> Canonical zero normalization prior to sign logic</t>
    </r>
  </si>
  <si>
    <t>a={456; 123}
b={12}
k=3</t>
  </si>
  <si>
    <t>a={5}
b={100}
k=3</t>
  </si>
  <si>
    <t>a={999; 999; 999}
b={3}
k=3</t>
  </si>
  <si>
    <t>a={0; 0; 0; 1}
b={0; 500}
k=3</t>
  </si>
  <si>
    <t>{1;0;288;10}</t>
  </si>
  <si>
    <t>{1;1;857;142}</t>
  </si>
  <si>
    <t>{1;5;0}</t>
  </si>
  <si>
    <t>{1;0;1}</t>
  </si>
  <si>
    <t>{1;0;333;333;333}</t>
  </si>
  <si>
    <t>{1;0;0;2}</t>
  </si>
  <si>
    <t>{2;999;499;1}</t>
  </si>
  <si>
    <t>{1;1;1;1}</t>
  </si>
  <si>
    <t>a={0; 0; 1}
b={7}
k=3</t>
  </si>
  <si>
    <t>a={0; 0; 1}
b={1; 500}
k=3</t>
  </si>
  <si>
    <t>a={0; 0; 1}
b={999}
k=3</t>
  </si>
  <si>
    <t>12</t>
  </si>
  <si>
    <t>3</t>
  </si>
  <si>
    <t>-33</t>
  </si>
  <si>
    <t>33</t>
  </si>
  <si>
    <t>-12</t>
  </si>
  <si>
    <t>a=144
b=12</t>
  </si>
  <si>
    <t>a=25
b=7</t>
  </si>
  <si>
    <t>a=-100
b=3</t>
  </si>
  <si>
    <t>a=100
b=-3</t>
  </si>
  <si>
    <t>a=-100
b=-3</t>
  </si>
  <si>
    <t>a=5
b=100</t>
  </si>
  <si>
    <t>a=0
b=500</t>
  </si>
  <si>
    <t>a=500
b=0</t>
  </si>
  <si>
    <t>a=000144
b=-0012</t>
  </si>
  <si>
    <t>a=987654321987654321
b=123456789</t>
  </si>
  <si>
    <r>
      <rPr>
        <b/>
        <sz val="11"/>
        <color theme="1"/>
        <rFont val="Aptos Narrow"/>
        <family val="2"/>
        <scheme val="minor"/>
      </rPr>
      <t>Standard Division:</t>
    </r>
    <r>
      <rPr>
        <sz val="11"/>
        <color rgb="FF1F1F1F"/>
        <rFont val="Aptos Narrow"/>
        <family val="2"/>
        <scheme val="minor"/>
      </rPr>
      <t xml:space="preserve"> 123,456 ÷ 12. Single-limb divisor, no remainder.</t>
    </r>
  </si>
  <si>
    <r>
      <rPr>
        <b/>
        <sz val="11"/>
        <color theme="1"/>
        <rFont val="Aptos Narrow"/>
        <family val="2"/>
        <scheme val="minor"/>
      </rPr>
      <t>Standard Modulus:</t>
    </r>
    <r>
      <rPr>
        <sz val="11"/>
        <color rgb="FF1F1F1F"/>
        <rFont val="Aptos Narrow"/>
        <family val="2"/>
        <scheme val="minor"/>
      </rPr>
      <t xml:space="preserve"> 1,000,000 ÷ 7. Single-limb remainder.</t>
    </r>
  </si>
  <si>
    <r>
      <rPr>
        <b/>
        <sz val="11"/>
        <color theme="1"/>
        <rFont val="Aptos Narrow"/>
        <family val="2"/>
        <scheme val="minor"/>
      </rPr>
      <t>Short-Circuit ($A &lt; B$):</t>
    </r>
    <r>
      <rPr>
        <sz val="11"/>
        <color rgb="FF1F1F1F"/>
        <rFont val="Aptos Narrow"/>
        <family val="2"/>
        <scheme val="minor"/>
      </rPr>
      <t xml:space="preserve"> Dividend is smaller than divisor.</t>
    </r>
  </si>
  <si>
    <r>
      <rPr>
        <b/>
        <sz val="11"/>
        <color theme="1"/>
        <rFont val="Aptos Narrow"/>
        <family val="2"/>
        <scheme val="minor"/>
      </rPr>
      <t>Short-Circuit ($A = B$):</t>
    </r>
    <r>
      <rPr>
        <sz val="11"/>
        <color rgb="FF1F1F1F"/>
        <rFont val="Aptos Narrow"/>
        <family val="2"/>
        <scheme val="minor"/>
      </rPr>
      <t xml:space="preserve"> Dividend and divisor are identical.</t>
    </r>
  </si>
  <si>
    <r>
      <rPr>
        <b/>
        <sz val="11"/>
        <color theme="1"/>
        <rFont val="Aptos Narrow"/>
        <family val="2"/>
        <scheme val="minor"/>
      </rPr>
      <t>Large Quotient:</t>
    </r>
    <r>
      <rPr>
        <sz val="11"/>
        <color rgb="FF1F1F1F"/>
        <rFont val="Aptos Narrow"/>
        <family val="2"/>
        <scheme val="minor"/>
      </rPr>
      <t xml:space="preserve"> 999,999,999 ÷ 3. Single-limb divisor, multi-limb quotient.</t>
    </r>
  </si>
  <si>
    <r>
      <rPr>
        <b/>
        <sz val="11"/>
        <color theme="1"/>
        <rFont val="Aptos Narrow"/>
        <family val="2"/>
        <scheme val="minor"/>
      </rPr>
      <t>Cross-Boundary Division:</t>
    </r>
    <r>
      <rPr>
        <sz val="11"/>
        <color rgb="FF1F1F1F"/>
        <rFont val="Aptos Narrow"/>
        <family val="2"/>
        <scheme val="minor"/>
      </rPr>
      <t xml:space="preserve"> Multi-limb divisor resolving to multi-limb quotient.</t>
    </r>
  </si>
  <si>
    <r>
      <rPr>
        <b/>
        <sz val="11"/>
        <color theme="1"/>
        <rFont val="Aptos Narrow"/>
        <family val="2"/>
        <scheme val="minor"/>
      </rPr>
      <t>Multi-Limb Remainder:</t>
    </r>
    <r>
      <rPr>
        <sz val="11"/>
        <color rgb="FF1F1F1F"/>
        <rFont val="Aptos Narrow"/>
        <family val="2"/>
        <scheme val="minor"/>
      </rPr>
      <t xml:space="preserve"> Quotient is 1, remainder spans multiple limbs.</t>
    </r>
  </si>
  <si>
    <r>
      <rPr>
        <b/>
        <sz val="11"/>
        <color theme="1"/>
        <rFont val="Aptos Narrow"/>
        <family val="2"/>
        <scheme val="minor"/>
      </rPr>
      <t>Shift-and-Subtract Borrow:</t>
    </r>
    <r>
      <rPr>
        <sz val="11"/>
        <color rgb="FF1F1F1F"/>
        <rFont val="Aptos Narrow"/>
        <family val="2"/>
        <scheme val="minor"/>
      </rPr>
      <t xml:space="preserve"> Binary search loop across chunk boundaries.</t>
    </r>
  </si>
  <si>
    <t>8000000080</t>
  </si>
  <si>
    <r>
      <rPr>
        <b/>
        <sz val="11"/>
        <color theme="1"/>
        <rFont val="Aptos Narrow"/>
        <family val="2"/>
        <scheme val="minor"/>
      </rPr>
      <t>Standard Division:</t>
    </r>
    <r>
      <rPr>
        <sz val="11"/>
        <color rgb="FF1F1F1F"/>
        <rFont val="Aptos Narrow"/>
        <family val="2"/>
        <scheme val="minor"/>
      </rPr>
      <t xml:space="preserve"> Clean division, positive integers.</t>
    </r>
  </si>
  <si>
    <r>
      <rPr>
        <b/>
        <sz val="11"/>
        <color theme="1"/>
        <rFont val="Aptos Narrow"/>
        <family val="2"/>
        <scheme val="minor"/>
      </rPr>
      <t>Truncated Division:</t>
    </r>
    <r>
      <rPr>
        <sz val="11"/>
        <color rgb="FF1F1F1F"/>
        <rFont val="Aptos Narrow"/>
        <family val="2"/>
        <scheme val="minor"/>
      </rPr>
      <t xml:space="preserve"> Remainder is safely discarded.</t>
    </r>
  </si>
  <si>
    <r>
      <rPr>
        <b/>
        <sz val="11"/>
        <color theme="1"/>
        <rFont val="Aptos Narrow"/>
        <family val="2"/>
        <scheme val="minor"/>
      </rPr>
      <t>Negative Dividend:</t>
    </r>
    <r>
      <rPr>
        <b/>
        <sz val="11"/>
        <color rgb="FF1F1F1F"/>
        <rFont val="Aptos Narrow"/>
        <family val="2"/>
        <scheme val="minor"/>
      </rPr>
      <t xml:space="preserve"> </t>
    </r>
    <r>
      <rPr>
        <sz val="11"/>
        <color rgb="FF1F1F1F"/>
        <rFont val="Aptos Narrow"/>
        <family val="2"/>
        <scheme val="minor"/>
      </rPr>
      <t>Sign correctly resolved to negative.</t>
    </r>
  </si>
  <si>
    <r>
      <rPr>
        <b/>
        <sz val="11"/>
        <color theme="1"/>
        <rFont val="Aptos Narrow"/>
        <family val="2"/>
        <scheme val="minor"/>
      </rPr>
      <t>Negative Divisor:</t>
    </r>
    <r>
      <rPr>
        <sz val="11"/>
        <color rgb="FF1F1F1F"/>
        <rFont val="Aptos Narrow"/>
        <family val="2"/>
        <scheme val="minor"/>
      </rPr>
      <t xml:space="preserve"> Sign correctly resolved to negative.</t>
    </r>
  </si>
  <si>
    <r>
      <rPr>
        <b/>
        <sz val="11"/>
        <color theme="1"/>
        <rFont val="Aptos Narrow"/>
        <family val="2"/>
        <scheme val="minor"/>
      </rPr>
      <t>Double Negative:</t>
    </r>
    <r>
      <rPr>
        <sz val="11"/>
        <color rgb="FF1F1F1F"/>
        <rFont val="Aptos Narrow"/>
        <family val="2"/>
        <scheme val="minor"/>
      </rPr>
      <t xml:space="preserve"> Sign correctly resolves to positive.</t>
    </r>
  </si>
  <si>
    <r>
      <rPr>
        <b/>
        <sz val="11"/>
        <color theme="1"/>
        <rFont val="Aptos Narrow"/>
        <family val="2"/>
        <scheme val="minor"/>
      </rPr>
      <t>Zero Dividend:</t>
    </r>
    <r>
      <rPr>
        <sz val="11"/>
        <color rgb="FF1F1F1F"/>
        <rFont val="Aptos Narrow"/>
        <family val="2"/>
        <scheme val="minor"/>
      </rPr>
      <t xml:space="preserve"> Short-circuits to 0.</t>
    </r>
  </si>
  <si>
    <r>
      <rPr>
        <b/>
        <sz val="11"/>
        <color theme="1"/>
        <rFont val="Aptos Narrow"/>
        <family val="2"/>
        <scheme val="minor"/>
      </rPr>
      <t>Unnormalized Inputs:</t>
    </r>
    <r>
      <rPr>
        <sz val="11"/>
        <color rgb="FF1F1F1F"/>
        <rFont val="Aptos Narrow"/>
        <family val="2"/>
        <scheme val="minor"/>
      </rPr>
      <t xml:space="preserve"> Leading zeros are stripped and sign preserved prior to routing.</t>
    </r>
  </si>
  <si>
    <r>
      <rPr>
        <b/>
        <sz val="11"/>
        <color theme="1"/>
        <rFont val="Aptos Narrow"/>
        <family val="2"/>
        <scheme val="minor"/>
      </rPr>
      <t>Large String Execution:</t>
    </r>
    <r>
      <rPr>
        <b/>
        <sz val="11"/>
        <color rgb="FF1F1F1F"/>
        <rFont val="Aptos Narrow"/>
        <family val="2"/>
        <scheme val="minor"/>
      </rPr>
      <t xml:space="preserve"> </t>
    </r>
    <r>
      <rPr>
        <sz val="11"/>
        <color rgb="FF1F1F1F"/>
        <rFont val="Aptos Narrow"/>
        <family val="2"/>
        <scheme val="minor"/>
      </rPr>
      <t>End-to-end split, route, math, and string merge validation.</t>
    </r>
  </si>
  <si>
    <t>4</t>
  </si>
  <si>
    <t>op=XYZ
max_items=2</t>
  </si>
  <si>
    <t>111111201</t>
  </si>
  <si>
    <t>{"12";"0"}</t>
  </si>
  <si>
    <t>{"3";"4"}</t>
  </si>
  <si>
    <t>{"-33";"-1"}</t>
  </si>
  <si>
    <t>{"-33";"1"}</t>
  </si>
  <si>
    <t>{"33";"-1"}</t>
  </si>
  <si>
    <t>{"0";"5"}</t>
  </si>
  <si>
    <t>{"0";"0"}</t>
  </si>
  <si>
    <t>{"-12";"0"}</t>
  </si>
  <si>
    <t>{"8000000080";"111111201"}</t>
  </si>
  <si>
    <r>
      <rPr>
        <b/>
        <sz val="11"/>
        <color theme="1"/>
        <rFont val="Aptos Narrow"/>
        <family val="2"/>
        <scheme val="minor"/>
      </rPr>
      <t xml:space="preserve">Standard Modulus: </t>
    </r>
    <r>
      <rPr>
        <sz val="11"/>
        <color theme="1"/>
        <rFont val="Aptos Narrow"/>
        <family val="2"/>
        <scheme val="minor"/>
      </rPr>
      <t>Clean remainder calculation, positive integers.</t>
    </r>
  </si>
  <si>
    <r>
      <rPr>
        <b/>
        <sz val="11"/>
        <color theme="1"/>
        <rFont val="Aptos Narrow"/>
        <family val="2"/>
        <scheme val="minor"/>
      </rPr>
      <t xml:space="preserve">Zero Remainder: </t>
    </r>
    <r>
      <rPr>
        <sz val="11"/>
        <color theme="1"/>
        <rFont val="Aptos Narrow"/>
        <family val="2"/>
        <scheme val="minor"/>
      </rPr>
      <t>Dividend is a perfect multiple of divisor.</t>
    </r>
  </si>
  <si>
    <r>
      <rPr>
        <b/>
        <sz val="11"/>
        <color theme="1"/>
        <rFont val="Aptos Narrow"/>
        <family val="2"/>
        <scheme val="minor"/>
      </rPr>
      <t>Negative Dividend:</t>
    </r>
    <r>
      <rPr>
        <b/>
        <sz val="11"/>
        <color rgb="FF1F1F1F"/>
        <rFont val="Aptos Narrow"/>
        <family val="2"/>
        <scheme val="minor"/>
      </rPr>
      <t xml:space="preserve"> </t>
    </r>
    <r>
      <rPr>
        <sz val="11"/>
        <color rgb="FF1F1F1F"/>
        <rFont val="Aptos Narrow"/>
        <family val="2"/>
        <scheme val="minor"/>
      </rPr>
      <t>Remainder strictly inherits the dividend's negative sign.</t>
    </r>
  </si>
  <si>
    <r>
      <rPr>
        <b/>
        <sz val="11"/>
        <color theme="1"/>
        <rFont val="Aptos Narrow"/>
        <family val="2"/>
        <scheme val="minor"/>
      </rPr>
      <t>Negative Divisor:</t>
    </r>
    <r>
      <rPr>
        <sz val="11"/>
        <color rgb="FF1F1F1F"/>
        <rFont val="Aptos Narrow"/>
        <family val="2"/>
        <scheme val="minor"/>
      </rPr>
      <t xml:space="preserve"> Remainder strictly inherits the dividend's positive sign.</t>
    </r>
  </si>
  <si>
    <r>
      <rPr>
        <b/>
        <sz val="11"/>
        <color theme="1"/>
        <rFont val="Aptos Narrow"/>
        <family val="2"/>
        <scheme val="minor"/>
      </rPr>
      <t>Double Negative:</t>
    </r>
    <r>
      <rPr>
        <sz val="11"/>
        <color rgb="FF1F1F1F"/>
        <rFont val="Aptos Narrow"/>
        <family val="2"/>
        <scheme val="minor"/>
      </rPr>
      <t xml:space="preserve"> Sign correctly resolves to the negative dividend.</t>
    </r>
  </si>
  <si>
    <r>
      <rPr>
        <b/>
        <sz val="11"/>
        <color theme="1"/>
        <rFont val="Aptos Narrow"/>
        <family val="2"/>
        <scheme val="minor"/>
      </rPr>
      <t>Fractional Result:</t>
    </r>
    <r>
      <rPr>
        <sz val="11"/>
        <color rgb="FF1F1F1F"/>
        <rFont val="Aptos Narrow"/>
        <family val="2"/>
        <scheme val="minor"/>
      </rPr>
      <t xml:space="preserve"> Returns the exact dividend.</t>
    </r>
  </si>
  <si>
    <t>a=-000123
b=-0045</t>
  </si>
  <si>
    <r>
      <rPr>
        <b/>
        <sz val="11"/>
        <color theme="1"/>
        <rFont val="Aptos Narrow"/>
        <family val="2"/>
        <scheme val="minor"/>
      </rPr>
      <t>Unnormalized Inputs:</t>
    </r>
    <r>
      <rPr>
        <sz val="11"/>
        <color rgb="FF1F1F1F"/>
        <rFont val="Aptos Narrow"/>
        <family val="2"/>
        <scheme val="minor"/>
      </rPr>
      <t xml:space="preserve"> Leading zeros stripped and sign preserved.</t>
    </r>
  </si>
  <si>
    <r>
      <rPr>
        <b/>
        <sz val="11"/>
        <color theme="1"/>
        <rFont val="Aptos Narrow"/>
        <family val="2"/>
        <scheme val="minor"/>
      </rPr>
      <t>Standard Division:</t>
    </r>
    <r>
      <rPr>
        <sz val="11"/>
        <color rgb="FF1F1F1F"/>
        <rFont val="Aptos Narrow"/>
        <family val="2"/>
        <scheme val="minor"/>
      </rPr>
      <t xml:space="preserve"> Clean division, no remainder, positive integers.</t>
    </r>
  </si>
  <si>
    <r>
      <rPr>
        <b/>
        <sz val="11"/>
        <color theme="1"/>
        <rFont val="Aptos Narrow"/>
        <family val="2"/>
        <scheme val="minor"/>
      </rPr>
      <t>Standard Division:</t>
    </r>
    <r>
      <rPr>
        <sz val="11"/>
        <color rgb="FF1F1F1F"/>
        <rFont val="Aptos Narrow"/>
        <family val="2"/>
        <scheme val="minor"/>
      </rPr>
      <t xml:space="preserve"> Quotient and remainder returned.</t>
    </r>
  </si>
  <si>
    <r>
      <rPr>
        <b/>
        <sz val="11"/>
        <color theme="1"/>
        <rFont val="Aptos Narrow"/>
        <family val="2"/>
        <scheme val="minor"/>
      </rPr>
      <t>Double Negative:</t>
    </r>
    <r>
      <rPr>
        <sz val="11"/>
        <color rgb="FF1F1F1F"/>
        <rFont val="Aptos Narrow"/>
        <family val="2"/>
        <scheme val="minor"/>
      </rPr>
      <t xml:space="preserve"> Sign resolves to positive/negative for quotient/remainder.</t>
    </r>
  </si>
  <si>
    <r>
      <rPr>
        <b/>
        <sz val="11"/>
        <color theme="1"/>
        <rFont val="Aptos Narrow"/>
        <family val="2"/>
        <scheme val="minor"/>
      </rPr>
      <t>Negative Divisor:</t>
    </r>
    <r>
      <rPr>
        <sz val="11"/>
        <color rgb="FF1F1F1F"/>
        <rFont val="Aptos Narrow"/>
        <family val="2"/>
        <scheme val="minor"/>
      </rPr>
      <t xml:space="preserve"> Sign resolve to negative/positive for quotient/remainder.</t>
    </r>
  </si>
  <si>
    <r>
      <rPr>
        <b/>
        <sz val="11"/>
        <color theme="1"/>
        <rFont val="Aptos Narrow"/>
        <family val="2"/>
        <scheme val="minor"/>
      </rPr>
      <t>Fractional Result:</t>
    </r>
    <r>
      <rPr>
        <sz val="11"/>
        <color rgb="FF1F1F1F"/>
        <rFont val="Aptos Narrow"/>
        <family val="2"/>
        <scheme val="minor"/>
      </rPr>
      <t xml:space="preserve"> No quotient—dividend is smaller than divisor.</t>
    </r>
  </si>
  <si>
    <r>
      <rPr>
        <b/>
        <sz val="11"/>
        <color theme="1"/>
        <rFont val="Aptos Narrow"/>
        <family val="2"/>
        <scheme val="minor"/>
      </rPr>
      <t>Fractional Result:</t>
    </r>
    <r>
      <rPr>
        <sz val="11"/>
        <color rgb="FF1F1F1F"/>
        <rFont val="Aptos Narrow"/>
        <family val="2"/>
        <scheme val="minor"/>
      </rPr>
      <t xml:space="preserve"> No quotient, dividend is the remainder.</t>
    </r>
  </si>
  <si>
    <r>
      <rPr>
        <b/>
        <sz val="11"/>
        <color theme="1"/>
        <rFont val="Aptos Narrow"/>
        <family val="2"/>
        <scheme val="minor"/>
      </rPr>
      <t>Zero Divisor:</t>
    </r>
    <r>
      <rPr>
        <sz val="11"/>
        <color rgb="FF1F1F1F"/>
        <rFont val="Aptos Narrow"/>
        <family val="2"/>
        <scheme val="minor"/>
      </rPr>
      <t xml:space="preserve"> Evaluates native error.</t>
    </r>
  </si>
  <si>
    <r>
      <rPr>
        <b/>
        <sz val="11"/>
        <color theme="1"/>
        <rFont val="Aptos Narrow"/>
        <family val="2"/>
        <scheme val="minor"/>
      </rPr>
      <t>Unnormalized Inputs:</t>
    </r>
    <r>
      <rPr>
        <sz val="11"/>
        <color rgb="FF1F1F1F"/>
        <rFont val="Aptos Narrow"/>
        <family val="2"/>
        <scheme val="minor"/>
      </rPr>
      <t xml:space="preserve"> Leading zeros are stripped and sign preserved.</t>
    </r>
  </si>
  <si>
    <t>a=144
b=12
use_floor=FALSE</t>
  </si>
  <si>
    <t>a=25
b=7
use_floor=FALSE</t>
  </si>
  <si>
    <t>a=-100
b=3
use_floor=FALSE</t>
  </si>
  <si>
    <t>a=100
b=-3
use_floor=FALSE</t>
  </si>
  <si>
    <t>a=-100
b=-3
use_floor=FALSE</t>
  </si>
  <si>
    <t>a=5
b=100
use_floor=FALSE</t>
  </si>
  <si>
    <t>a=0
b=500
use_floor=FALSE</t>
  </si>
  <si>
    <t>a=500
b=0
use_floor=FALSE</t>
  </si>
  <si>
    <t>a=000144
b=-0012
use_floor=FALSE</t>
  </si>
  <si>
    <t>a=987654321987654321
b=123456789
use_floor=FALSE</t>
  </si>
  <si>
    <t>a=100
b=-3
use_floor=TRUE</t>
  </si>
  <si>
    <t>{"-34";"-2"}</t>
  </si>
  <si>
    <r>
      <rPr>
        <b/>
        <sz val="11"/>
        <color theme="1"/>
        <rFont val="Aptos Narrow"/>
        <family val="2"/>
        <scheme val="minor"/>
      </rPr>
      <t xml:space="preserve">Negative Dividend: </t>
    </r>
    <r>
      <rPr>
        <sz val="11"/>
        <color theme="1"/>
        <rFont val="Aptos Narrow"/>
        <family val="2"/>
        <scheme val="minor"/>
      </rPr>
      <t>Truncated division, r</t>
    </r>
    <r>
      <rPr>
        <sz val="11"/>
        <color rgb="FF1F1F1F"/>
        <rFont val="Aptos Narrow"/>
        <family val="2"/>
        <scheme val="minor"/>
      </rPr>
      <t>emainder inherits the dividend's sign.</t>
    </r>
  </si>
  <si>
    <t>a=25
b=7
use_floor=TRUE</t>
  </si>
  <si>
    <t>{"-4";"0"}</t>
  </si>
  <si>
    <t>a=-100
b=25
use_floor=TRUE</t>
  </si>
  <si>
    <r>
      <rPr>
        <b/>
        <sz val="11"/>
        <color theme="1"/>
        <rFont val="Aptos Narrow"/>
        <family val="2"/>
        <scheme val="minor"/>
      </rPr>
      <t>Floor Exact Match:</t>
    </r>
    <r>
      <rPr>
        <sz val="11"/>
        <color theme="1"/>
        <rFont val="Aptos Narrow"/>
        <family val="2"/>
        <scheme val="minor"/>
      </rPr>
      <t xml:space="preserve"> Remainder is 0, no Floor correction.</t>
    </r>
  </si>
  <si>
    <r>
      <rPr>
        <b/>
        <sz val="11"/>
        <color theme="1"/>
        <rFont val="Aptos Narrow"/>
        <family val="2"/>
        <scheme val="minor"/>
      </rPr>
      <t>Floor Division:</t>
    </r>
    <r>
      <rPr>
        <sz val="11"/>
        <color rgb="FF1F1F1F"/>
        <rFont val="Aptos Narrow"/>
        <family val="2"/>
        <scheme val="minor"/>
      </rPr>
      <t xml:space="preserve"> Standard division is identical to truncated division.</t>
    </r>
  </si>
  <si>
    <r>
      <rPr>
        <b/>
        <sz val="11"/>
        <color theme="1"/>
        <rFont val="Aptos Narrow"/>
        <family val="2"/>
        <scheme val="minor"/>
      </rPr>
      <t xml:space="preserve">Negative Dividend: </t>
    </r>
    <r>
      <rPr>
        <sz val="11"/>
        <color theme="1"/>
        <rFont val="Aptos Narrow"/>
        <family val="2"/>
        <scheme val="minor"/>
      </rPr>
      <t>Quotient floored, the r</t>
    </r>
    <r>
      <rPr>
        <sz val="11"/>
        <color rgb="FF1F1F1F"/>
        <rFont val="Aptos Narrow"/>
        <family val="2"/>
        <scheme val="minor"/>
      </rPr>
      <t>emainder shifts.</t>
    </r>
  </si>
  <si>
    <r>
      <rPr>
        <b/>
        <sz val="11"/>
        <color theme="1"/>
        <rFont val="Aptos Narrow"/>
        <family val="2"/>
        <scheme val="minor"/>
      </rPr>
      <t>Negative Divisor:</t>
    </r>
    <r>
      <rPr>
        <sz val="11"/>
        <color rgb="FF1F1F1F"/>
        <rFont val="Aptos Narrow"/>
        <family val="2"/>
        <scheme val="minor"/>
      </rPr>
      <t xml:space="preserve"> Quotient floored, the remainder shifts.</t>
    </r>
  </si>
  <si>
    <t>a=-100
b=-3
use_floor=TRUE</t>
  </si>
  <si>
    <r>
      <rPr>
        <b/>
        <sz val="11"/>
        <color theme="1"/>
        <rFont val="Aptos Narrow"/>
        <family val="2"/>
        <scheme val="minor"/>
      </rPr>
      <t>Double Negative:</t>
    </r>
    <r>
      <rPr>
        <sz val="11"/>
        <color rgb="FF1F1F1F"/>
        <rFont val="Aptos Narrow"/>
        <family val="2"/>
        <scheme val="minor"/>
      </rPr>
      <t xml:space="preserve"> Signs match, floor correction skipped, matches truncation.</t>
    </r>
  </si>
  <si>
    <t>Tests Passing</t>
  </si>
  <si>
    <r>
      <rPr>
        <b/>
        <sz val="11"/>
        <color theme="1"/>
        <rFont val="Aptos Narrow"/>
        <family val="2"/>
        <scheme val="minor"/>
      </rPr>
      <t>Scalar Reciprocal:</t>
    </r>
    <r>
      <rPr>
        <sz val="11"/>
        <color rgb="FF1F1F1F"/>
        <rFont val="Aptos Narrow"/>
        <family val="2"/>
        <scheme val="minor"/>
      </rPr>
      <t xml:space="preserve"> 1/3. Validates the 14-digit repeating float extraction.</t>
    </r>
  </si>
  <si>
    <r>
      <rPr>
        <b/>
        <sz val="11"/>
        <color theme="1"/>
        <rFont val="Aptos Narrow"/>
        <family val="2"/>
        <scheme val="minor"/>
      </rPr>
      <t>Terminating Float:</t>
    </r>
    <r>
      <rPr>
        <sz val="11"/>
        <color rgb="FF1F1F1F"/>
        <rFont val="Aptos Narrow"/>
        <family val="2"/>
        <scheme val="minor"/>
      </rPr>
      <t xml:space="preserve"> Pads the trailing zeros, enforcing 14 digits before </t>
    </r>
    <r>
      <rPr>
        <sz val="11"/>
        <color rgb="FF444746"/>
        <rFont val="Aptos Narrow"/>
        <family val="2"/>
        <scheme val="minor"/>
      </rPr>
      <t>Split</t>
    </r>
    <r>
      <rPr>
        <sz val="11"/>
        <color rgb="FF1F1F1F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</si>
  <si>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>Multi-Limb Extraction:</t>
    </r>
    <r>
      <rPr>
        <sz val="11"/>
        <color rgb="FF1F1F1F"/>
        <rFont val="Aptos Narrow"/>
        <family val="2"/>
        <scheme val="minor"/>
      </rPr>
      <t xml:space="preserve"> Graps the top 3 limbs and extracts </t>
    </r>
    <r>
      <rPr>
        <sz val="11"/>
        <color rgb="FF444746"/>
        <rFont val="Aptos Narrow"/>
        <family val="2"/>
        <scheme val="minor"/>
      </rPr>
      <t>12345678901234</t>
    </r>
    <r>
      <rPr>
        <sz val="11"/>
        <color rgb="FF1F1F1F"/>
        <rFont val="Aptos Narrow"/>
        <family val="2"/>
        <scheme val="minor"/>
      </rPr>
      <t>.</t>
    </r>
  </si>
  <si>
    <r>
      <rPr>
        <b/>
        <sz val="11"/>
        <color theme="1"/>
        <rFont val="Aptos Narrow"/>
        <family val="2"/>
        <scheme val="minor"/>
      </rPr>
      <t>Magnitude Padding:</t>
    </r>
    <r>
      <rPr>
        <sz val="11"/>
        <color rgb="FF1F1F1F"/>
        <rFont val="Aptos Narrow"/>
        <family val="2"/>
        <scheme val="minor"/>
      </rPr>
      <t xml:space="preserve"> Pushes the seed to the target reciprocal scale.</t>
    </r>
  </si>
  <si>
    <r>
      <rPr>
        <b/>
        <sz val="11"/>
        <color theme="1"/>
        <rFont val="Aptos Narrow"/>
        <family val="2"/>
        <scheme val="minor"/>
      </rPr>
      <t>Intra-Limb String Pad:</t>
    </r>
    <r>
      <rPr>
        <sz val="11"/>
        <color theme="1"/>
        <rFont val="Aptos Narrow"/>
        <family val="2"/>
        <scheme val="minor"/>
      </rPr>
      <t xml:space="preserve"> Requires 1 limb pad, plus 5 zeros before Split.</t>
    </r>
  </si>
  <si>
    <t>limbs_b={3}
k=7</t>
  </si>
  <si>
    <t>limbs_b={8}
k=7</t>
  </si>
  <si>
    <t>limbs_b={9012345; 2345678; 1}
k=7</t>
  </si>
  <si>
    <t>limbs_b={0; 0; 0; 2}
k=7</t>
  </si>
  <si>
    <t>limbs_b={123}
k=7</t>
  </si>
  <si>
    <t>{3333333;3333333}</t>
  </si>
  <si>
    <t>{0;1250000}</t>
  </si>
  <si>
    <t>{0;0;0;5000000}</t>
  </si>
  <si>
    <t>{8130081;81300}</t>
  </si>
  <si>
    <t>{807805;4520610;729000;8100000}</t>
  </si>
  <si>
    <t>core_BigInt.SafeK</t>
  </si>
  <si>
    <t>core_BigInt.Merge</t>
  </si>
  <si>
    <t>core_BigInt.Carry</t>
  </si>
  <si>
    <t>core_BigInt.Uadd</t>
  </si>
  <si>
    <t>core_BigInt.UCompare</t>
  </si>
  <si>
    <t>core_BigInt.Usub</t>
  </si>
  <si>
    <t>core_BigInt.AddSubRouter</t>
  </si>
  <si>
    <t>core_BigInt.Split</t>
  </si>
  <si>
    <t>core_BigInt.UMatrixSum</t>
  </si>
  <si>
    <t>core_BigInt.UMul</t>
  </si>
  <si>
    <t>core_BigInt.KnuthDiv</t>
  </si>
  <si>
    <t>core_BigInt.NewtonRaphsonSeed</t>
  </si>
  <si>
    <t>BigInt.Norm</t>
  </si>
  <si>
    <t>BigInt.Sign</t>
  </si>
  <si>
    <t>BigInt.IsZero</t>
  </si>
  <si>
    <t>BigInt.IsNeg</t>
  </si>
  <si>
    <t>BigInt.Abs</t>
  </si>
  <si>
    <t>BigInt.Compare</t>
  </si>
  <si>
    <t>BigInt.Add</t>
  </si>
  <si>
    <t>BigInt.Sub</t>
  </si>
  <si>
    <t>BigInt.Sum</t>
  </si>
  <si>
    <t>BigInt.Mul</t>
  </si>
  <si>
    <t>BigInt.Div</t>
  </si>
  <si>
    <t>BigInt.Mod</t>
  </si>
  <si>
    <t>BigInt.DivMod</t>
  </si>
  <si>
    <t xml:space="preserve">Intercept (c): </t>
  </si>
  <si>
    <t xml:space="preserve">Weight B (m_b): </t>
  </si>
  <si>
    <t xml:space="preserve">Weight A (m_a): </t>
  </si>
  <si>
    <t>len_b W_a</t>
  </si>
  <si>
    <t>len_b c</t>
  </si>
  <si>
    <t>=test_BigInt.DivisionAlgorithmComparison(test_BigInt.AsymmetricABGrid(500, 5000, 250, 50, 850, 50), 10, 3)</t>
  </si>
  <si>
    <r>
      <t xml:space="preserve">The boundary between Knuth and NR performance is where the </t>
    </r>
    <r>
      <rPr>
        <i/>
        <sz val="11"/>
        <color theme="1"/>
        <rFont val="Aptos Narrow"/>
        <family val="2"/>
        <scheme val="minor"/>
      </rPr>
      <t>LogOdds</t>
    </r>
    <r>
      <rPr>
        <sz val="11"/>
        <color theme="1"/>
        <rFont val="Aptos Narrow"/>
        <family val="2"/>
        <scheme val="minor"/>
      </rPr>
      <t xml:space="preserve"> is equal to zero.</t>
    </r>
  </si>
  <si>
    <t xml:space="preserve">
This represents where the model cannot choose between the two algorithms—the probability is 50/50.</t>
  </si>
  <si>
    <t>ML Logistic Regression Coefficients: Knuth vs Newton-Raphson</t>
  </si>
  <si>
    <t>Thus, we can calculate the divisor length that tips the probabliliity in NR's favour.</t>
  </si>
  <si>
    <t>Sony WH-1000XM5 Wireless Noise Canceling</t>
  </si>
  <si>
    <t>Bose QuietComfort Wireless Noise Canceling</t>
  </si>
  <si>
    <t>Apple AirPods Pro Wireless Earbuds</t>
  </si>
  <si>
    <t>Logitech G Pro Wireless Gaming Mouse</t>
  </si>
  <si>
    <t>Razer BlackShark V2 Pro Wireless Gaming Headset</t>
  </si>
  <si>
    <t>SteelSeries Arctis Nova Gaming Headset</t>
  </si>
  <si>
    <t>Sony WF-1000XM5 Wireless Earbuds</t>
  </si>
  <si>
    <t>value</t>
  </si>
  <si>
    <t>name</t>
  </si>
  <si>
    <t>Search Term</t>
  </si>
  <si>
    <t>result name</t>
  </si>
  <si>
    <t>result value</t>
  </si>
  <si>
    <t>Wireless Sony</t>
  </si>
  <si>
    <t>BigInt.IsEven</t>
  </si>
  <si>
    <t>BigInt.IsOdd</t>
  </si>
  <si>
    <t>2</t>
  </si>
  <si>
    <t>2468</t>
  </si>
  <si>
    <t>13579</t>
  </si>
  <si>
    <t>-42</t>
  </si>
  <si>
    <t>-17</t>
  </si>
  <si>
    <t>0008</t>
  </si>
  <si>
    <r>
      <rPr>
        <b/>
        <sz val="11"/>
        <color theme="1"/>
        <rFont val="Aptos Narrow"/>
        <family val="2"/>
        <scheme val="minor"/>
      </rPr>
      <t>Standard:</t>
    </r>
    <r>
      <rPr>
        <sz val="11"/>
        <color theme="1"/>
        <rFont val="Aptos Narrow"/>
        <family val="2"/>
        <scheme val="minor"/>
      </rPr>
      <t xml:space="preserve"> Positive even.</t>
    </r>
  </si>
  <si>
    <r>
      <rPr>
        <b/>
        <sz val="11"/>
        <color theme="1"/>
        <rFont val="Aptos Narrow"/>
        <family val="2"/>
        <scheme val="minor"/>
      </rPr>
      <t>Standard:</t>
    </r>
    <r>
      <rPr>
        <sz val="11"/>
        <color theme="1"/>
        <rFont val="Aptos Narrow"/>
        <family val="2"/>
        <scheme val="minor"/>
      </rPr>
      <t xml:space="preserve"> Positive odd.</t>
    </r>
  </si>
  <si>
    <r>
      <rPr>
        <b/>
        <sz val="11"/>
        <color theme="1"/>
        <rFont val="Aptos Narrow"/>
        <family val="2"/>
        <scheme val="minor"/>
      </rPr>
      <t>Zero:</t>
    </r>
    <r>
      <rPr>
        <sz val="11"/>
        <color theme="1"/>
        <rFont val="Aptos Narrow"/>
        <family val="2"/>
        <scheme val="minor"/>
      </rPr>
      <t xml:space="preserve"> Is even.</t>
    </r>
  </si>
  <si>
    <r>
      <rPr>
        <b/>
        <sz val="11"/>
        <color theme="1"/>
        <rFont val="Aptos Narrow"/>
        <family val="2"/>
        <scheme val="minor"/>
      </rPr>
      <t>Standard:</t>
    </r>
    <r>
      <rPr>
        <sz val="11"/>
        <color theme="1"/>
        <rFont val="Aptos Narrow"/>
        <family val="2"/>
        <scheme val="minor"/>
      </rPr>
      <t xml:space="preserve"> Negative even.</t>
    </r>
  </si>
  <si>
    <r>
      <rPr>
        <b/>
        <sz val="11"/>
        <color theme="1"/>
        <rFont val="Aptos Narrow"/>
        <family val="2"/>
        <scheme val="minor"/>
      </rPr>
      <t>Standard:</t>
    </r>
    <r>
      <rPr>
        <sz val="11"/>
        <color theme="1"/>
        <rFont val="Aptos Narrow"/>
        <family val="2"/>
        <scheme val="minor"/>
      </rPr>
      <t xml:space="preserve"> Negative odd.</t>
    </r>
  </si>
  <si>
    <r>
      <rPr>
        <b/>
        <sz val="11"/>
        <color theme="1"/>
        <rFont val="Aptos Narrow"/>
        <family val="2"/>
        <scheme val="minor"/>
      </rPr>
      <t>Normalisation:</t>
    </r>
    <r>
      <rPr>
        <sz val="11"/>
        <color theme="1"/>
        <rFont val="Aptos Narrow"/>
        <family val="2"/>
        <scheme val="minor"/>
      </rPr>
      <t xml:space="preserve"> Leading zeros.</t>
    </r>
  </si>
  <si>
    <r>
      <rPr>
        <b/>
        <sz val="11"/>
        <color theme="1"/>
        <rFont val="Aptos Narrow"/>
        <family val="2"/>
        <scheme val="minor"/>
      </rPr>
      <t>Null:</t>
    </r>
    <r>
      <rPr>
        <sz val="11"/>
        <color theme="1"/>
        <rFont val="Aptos Narrow"/>
        <family val="2"/>
        <scheme val="minor"/>
      </rPr>
      <t xml:space="preserve"> Missingly values normalise to zero, which is positive.</t>
    </r>
  </si>
  <si>
    <r>
      <rPr>
        <b/>
        <sz val="11"/>
        <color theme="1"/>
        <rFont val="Aptos Narrow"/>
        <family val="2"/>
        <scheme val="minor"/>
      </rPr>
      <t>Normalization:</t>
    </r>
    <r>
      <rPr>
        <sz val="11"/>
        <color theme="1"/>
        <rFont val="Aptos Narrow"/>
        <family val="2"/>
        <scheme val="minor"/>
      </rPr>
      <t xml:space="preserve"> Negative zero is coerced to zero, which is positive.</t>
    </r>
  </si>
  <si>
    <r>
      <t>Zero:</t>
    </r>
    <r>
      <rPr>
        <sz val="11"/>
        <color theme="1"/>
        <rFont val="Aptos Narrow"/>
        <family val="2"/>
        <scheme val="minor"/>
      </rPr>
      <t xml:space="preserve"> Is even.</t>
    </r>
  </si>
  <si>
    <r>
      <t xml:space="preserve">Standard: </t>
    </r>
    <r>
      <rPr>
        <sz val="11"/>
        <color theme="1"/>
        <rFont val="Aptos Narrow"/>
        <family val="2"/>
        <scheme val="minor"/>
      </rPr>
      <t>Positive even.</t>
    </r>
  </si>
  <si>
    <r>
      <t xml:space="preserve">Standard: </t>
    </r>
    <r>
      <rPr>
        <sz val="11"/>
        <color theme="1"/>
        <rFont val="Aptos Narrow"/>
        <family val="2"/>
        <scheme val="minor"/>
      </rPr>
      <t>Positive odd.</t>
    </r>
  </si>
  <si>
    <r>
      <t xml:space="preserve">Standard: </t>
    </r>
    <r>
      <rPr>
        <sz val="11"/>
        <color theme="1"/>
        <rFont val="Aptos Narrow"/>
        <family val="2"/>
        <scheme val="minor"/>
      </rPr>
      <t>Negative even.</t>
    </r>
  </si>
  <si>
    <r>
      <t xml:space="preserve">Standard: </t>
    </r>
    <r>
      <rPr>
        <sz val="11"/>
        <color theme="1"/>
        <rFont val="Aptos Narrow"/>
        <family val="2"/>
        <scheme val="minor"/>
      </rPr>
      <t>Negative odd.</t>
    </r>
  </si>
  <si>
    <r>
      <t xml:space="preserve">Normalisation: </t>
    </r>
    <r>
      <rPr>
        <sz val="11"/>
        <color theme="1"/>
        <rFont val="Aptos Narrow"/>
        <family val="2"/>
        <scheme val="minor"/>
      </rPr>
      <t>Leading zeros.</t>
    </r>
  </si>
  <si>
    <r>
      <t xml:space="preserve">Null: </t>
    </r>
    <r>
      <rPr>
        <sz val="11"/>
        <color theme="1"/>
        <rFont val="Aptos Narrow"/>
        <family val="2"/>
        <scheme val="minor"/>
      </rPr>
      <t>Missingly values normalise to zero, which is positive.</t>
    </r>
  </si>
  <si>
    <r>
      <t xml:space="preserve">Normalization: </t>
    </r>
    <r>
      <rPr>
        <sz val="11"/>
        <color theme="1"/>
        <rFont val="Aptos Narrow"/>
        <family val="2"/>
        <scheme val="minor"/>
      </rPr>
      <t>Negative zero is coerced to zero, which is positive.</t>
    </r>
  </si>
  <si>
    <t>BigInt.Pow</t>
  </si>
  <si>
    <t>1024</t>
  </si>
  <si>
    <t>-8</t>
  </si>
  <si>
    <t>16</t>
  </si>
  <si>
    <t>1267650600228229401496703205376</t>
  </si>
  <si>
    <r>
      <rPr>
        <b/>
        <sz val="11"/>
        <color theme="1"/>
        <rFont val="Aptos Narrow"/>
        <family val="2"/>
        <scheme val="minor"/>
      </rPr>
      <t>Undefined:</t>
    </r>
    <r>
      <rPr>
        <sz val="11"/>
        <color theme="1"/>
        <rFont val="Aptos Narrow"/>
        <family val="2"/>
        <scheme val="minor"/>
      </rPr>
      <t xml:space="preserve"> Zero to the power of zero.</t>
    </r>
  </si>
  <si>
    <r>
      <rPr>
        <b/>
        <sz val="11"/>
        <color theme="1"/>
        <rFont val="Aptos Narrow"/>
        <family val="2"/>
        <scheme val="minor"/>
      </rPr>
      <t>Standard:</t>
    </r>
    <r>
      <rPr>
        <sz val="11"/>
        <color theme="1"/>
        <rFont val="Aptos Narrow"/>
        <family val="2"/>
        <scheme val="minor"/>
      </rPr>
      <t xml:space="preserve"> Zero to any positive power</t>
    </r>
  </si>
  <si>
    <r>
      <rPr>
        <b/>
        <sz val="11"/>
        <color theme="1"/>
        <rFont val="Aptos Narrow"/>
        <family val="2"/>
        <scheme val="minor"/>
      </rPr>
      <t xml:space="preserve">Identity: </t>
    </r>
    <r>
      <rPr>
        <sz val="11"/>
        <color theme="1"/>
        <rFont val="Aptos Narrow"/>
        <family val="2"/>
        <scheme val="minor"/>
      </rPr>
      <t>-1 identity shortcut (Odd exponent)</t>
    </r>
  </si>
  <si>
    <r>
      <rPr>
        <b/>
        <sz val="11"/>
        <color theme="1"/>
        <rFont val="Aptos Narrow"/>
        <family val="2"/>
        <scheme val="minor"/>
      </rPr>
      <t>Identity:</t>
    </r>
    <r>
      <rPr>
        <sz val="11"/>
        <color theme="1"/>
        <rFont val="Aptos Narrow"/>
        <family val="2"/>
        <scheme val="minor"/>
      </rPr>
      <t xml:space="preserve"> 1 and a positive exponent will always result in 1.</t>
    </r>
  </si>
  <si>
    <r>
      <rPr>
        <b/>
        <sz val="11"/>
        <color theme="1"/>
        <rFont val="Aptos Narrow"/>
        <family val="2"/>
        <scheme val="minor"/>
      </rPr>
      <t>Identity:</t>
    </r>
    <r>
      <rPr>
        <sz val="11"/>
        <color theme="1"/>
        <rFont val="Aptos Narrow"/>
        <family val="2"/>
        <scheme val="minor"/>
      </rPr>
      <t xml:space="preserve"> -1 identity shortcut (Even exponent)</t>
    </r>
  </si>
  <si>
    <r>
      <rPr>
        <b/>
        <sz val="11"/>
        <color theme="1"/>
        <rFont val="Aptos Narrow"/>
        <family val="2"/>
        <scheme val="minor"/>
      </rPr>
      <t>Standard:</t>
    </r>
    <r>
      <rPr>
        <sz val="11"/>
        <color theme="1"/>
        <rFont val="Aptos Narrow"/>
        <family val="2"/>
        <scheme val="minor"/>
      </rPr>
      <t xml:space="preserve"> base to power of 0</t>
    </r>
  </si>
  <si>
    <r>
      <rPr>
        <b/>
        <sz val="11"/>
        <color theme="1"/>
        <rFont val="Aptos Narrow"/>
        <family val="2"/>
        <scheme val="minor"/>
      </rPr>
      <t>Standard:</t>
    </r>
    <r>
      <rPr>
        <sz val="11"/>
        <color theme="1"/>
        <rFont val="Aptos Narrow"/>
        <family val="2"/>
        <scheme val="minor"/>
      </rPr>
      <t xml:space="preserve"> small power</t>
    </r>
  </si>
  <si>
    <r>
      <rPr>
        <b/>
        <sz val="11"/>
        <color theme="1"/>
        <rFont val="Aptos Narrow"/>
        <family val="2"/>
        <scheme val="minor"/>
      </rPr>
      <t>Sign:</t>
    </r>
    <r>
      <rPr>
        <sz val="11"/>
        <color theme="1"/>
        <rFont val="Aptos Narrow"/>
        <family val="2"/>
        <scheme val="minor"/>
      </rPr>
      <t xml:space="preserve"> Negative base (Odd exponent retains sign)</t>
    </r>
  </si>
  <si>
    <r>
      <rPr>
        <b/>
        <sz val="11"/>
        <color theme="1"/>
        <rFont val="Aptos Narrow"/>
        <family val="2"/>
        <scheme val="minor"/>
      </rPr>
      <t>Sign:</t>
    </r>
    <r>
      <rPr>
        <sz val="11"/>
        <color theme="1"/>
        <rFont val="Aptos Narrow"/>
        <family val="2"/>
        <scheme val="minor"/>
      </rPr>
      <t xml:space="preserve"> Negative base (Even exponent flips sign)</t>
    </r>
  </si>
  <si>
    <r>
      <rPr>
        <b/>
        <sz val="11"/>
        <color theme="1"/>
        <rFont val="Aptos Narrow"/>
        <family val="2"/>
        <scheme val="minor"/>
      </rPr>
      <t>BigInt:</t>
    </r>
    <r>
      <rPr>
        <sz val="11"/>
        <color theme="1"/>
        <rFont val="Aptos Narrow"/>
        <family val="2"/>
        <scheme val="minor"/>
      </rPr>
      <t xml:space="preserve"> Standard large power (Cache and loop stress test)</t>
    </r>
  </si>
  <si>
    <r>
      <rPr>
        <b/>
        <sz val="11"/>
        <color theme="1"/>
        <rFont val="Aptos Narrow"/>
        <family val="2"/>
        <scheme val="minor"/>
      </rPr>
      <t>Shortcircuit:</t>
    </r>
    <r>
      <rPr>
        <sz val="11"/>
        <color theme="1"/>
        <rFont val="Aptos Narrow"/>
        <family val="2"/>
        <scheme val="minor"/>
      </rPr>
      <t xml:space="preserve"> Integer truncation of fractions ($1/25$)</t>
    </r>
  </si>
  <si>
    <r>
      <rPr>
        <b/>
        <sz val="11"/>
        <color theme="1"/>
        <rFont val="Aptos Narrow"/>
        <family val="2"/>
        <scheme val="minor"/>
      </rPr>
      <t>Shortcircuit:</t>
    </r>
    <r>
      <rPr>
        <sz val="11"/>
        <color theme="1"/>
        <rFont val="Aptos Narrow"/>
        <family val="2"/>
        <scheme val="minor"/>
      </rPr>
      <t xml:space="preserve"> Exits early if the result is guaranteed to exceed cell limits</t>
    </r>
  </si>
  <si>
    <t>core_BigInt.UPow</t>
  </si>
  <si>
    <t>{1}</t>
  </si>
  <si>
    <t>{625}</t>
  </si>
  <si>
    <t>{24;1}</t>
  </si>
  <si>
    <t>{576;48;1}</t>
  </si>
  <si>
    <t>base={24;1}
exp=2
k=3</t>
  </si>
  <si>
    <t>base={999}
exp=2
k=3</t>
  </si>
  <si>
    <t>base={10}
exp=6
k=3</t>
  </si>
  <si>
    <t>base={2}
exp=10
k=3</t>
  </si>
  <si>
    <t>base={5}
exp=4
k=3</t>
  </si>
  <si>
    <t>base=0
exp=0</t>
  </si>
  <si>
    <t>base=0
exp=123</t>
  </si>
  <si>
    <t>base=1
exp=99999999999</t>
  </si>
  <si>
    <t>base=-1
exp=100</t>
  </si>
  <si>
    <t>base=-1
exp=101</t>
  </si>
  <si>
    <t>base=12345
exp=0</t>
  </si>
  <si>
    <t>base=2
exp=10</t>
  </si>
  <si>
    <t>base=-2
exp=3</t>
  </si>
  <si>
    <t>base=-2
exp=4</t>
  </si>
  <si>
    <t>base=2
exp=100</t>
  </si>
  <si>
    <t>base=5
exp=-2</t>
  </si>
  <si>
    <t>base=2
exp=110000</t>
  </si>
  <si>
    <t>base={2}
exp=1
k=3</t>
  </si>
  <si>
    <t>base={5}
exp=0
k=3</t>
  </si>
  <si>
    <t>base=2
exp=1</t>
  </si>
  <si>
    <r>
      <rPr>
        <b/>
        <sz val="11"/>
        <color theme="1"/>
        <rFont val="Aptos Narrow"/>
        <family val="2"/>
        <scheme val="minor"/>
      </rPr>
      <t xml:space="preserve">Standard: </t>
    </r>
    <r>
      <rPr>
        <sz val="11"/>
        <color theme="1"/>
        <rFont val="Aptos Narrow"/>
        <family val="2"/>
        <scheme val="minor"/>
      </rPr>
      <t>base to power of 1 is base</t>
    </r>
  </si>
  <si>
    <r>
      <rPr>
        <b/>
        <sz val="11"/>
        <color theme="1"/>
        <rFont val="Aptos Narrow"/>
        <family val="2"/>
        <scheme val="minor"/>
      </rPr>
      <t>Single limb:</t>
    </r>
    <r>
      <rPr>
        <sz val="11"/>
        <color theme="1"/>
        <rFont val="Aptos Narrow"/>
        <family val="2"/>
        <scheme val="minor"/>
      </rPr>
      <t xml:space="preserve"> Internal resolution, no carry.</t>
    </r>
  </si>
  <si>
    <r>
      <rPr>
        <b/>
        <sz val="11"/>
        <color theme="1"/>
        <rFont val="Aptos Narrow"/>
        <family val="2"/>
        <scheme val="minor"/>
      </rPr>
      <t>Multi-limb:</t>
    </r>
    <r>
      <rPr>
        <sz val="11"/>
        <color theme="1"/>
        <rFont val="Aptos Narrow"/>
        <family val="2"/>
        <scheme val="minor"/>
      </rPr>
      <t xml:space="preserve"> Base matrix squaring.</t>
    </r>
  </si>
  <si>
    <r>
      <rPr>
        <b/>
        <sz val="11"/>
        <color theme="1"/>
        <rFont val="Aptos Narrow"/>
        <family val="2"/>
        <scheme val="minor"/>
      </rPr>
      <t xml:space="preserve">Single Limb: </t>
    </r>
    <r>
      <rPr>
        <sz val="11"/>
        <color theme="1"/>
        <rFont val="Aptos Narrow"/>
        <family val="2"/>
        <scheme val="minor"/>
      </rPr>
      <t>Maximum single-limb carry.</t>
    </r>
  </si>
  <si>
    <r>
      <rPr>
        <b/>
        <sz val="11"/>
        <color theme="1"/>
        <rFont val="Aptos Narrow"/>
        <family val="2"/>
        <scheme val="minor"/>
      </rPr>
      <t xml:space="preserve">Multi-limb: </t>
    </r>
    <r>
      <rPr>
        <sz val="11"/>
        <color theme="1"/>
        <rFont val="Aptos Narrow"/>
        <family val="2"/>
        <scheme val="minor"/>
      </rPr>
      <t>Perfect boundary array generation.</t>
    </r>
  </si>
  <si>
    <r>
      <rPr>
        <b/>
        <sz val="11"/>
        <color theme="1"/>
        <rFont val="Aptos Narrow"/>
        <family val="2"/>
        <scheme val="minor"/>
      </rPr>
      <t>Multi-limb:</t>
    </r>
    <r>
      <rPr>
        <sz val="11"/>
        <color theme="1"/>
        <rFont val="Aptos Narrow"/>
        <family val="2"/>
        <scheme val="minor"/>
      </rPr>
      <t xml:space="preserve"> Array expands to multiple limbs.</t>
    </r>
  </si>
  <si>
    <r>
      <rPr>
        <b/>
        <sz val="11"/>
        <color theme="1"/>
        <rFont val="Aptos Narrow"/>
        <family val="2"/>
        <scheme val="minor"/>
      </rPr>
      <t xml:space="preserve">Standard: </t>
    </r>
    <r>
      <rPr>
        <sz val="11"/>
        <color theme="1"/>
        <rFont val="Aptos Narrow"/>
        <family val="2"/>
        <scheme val="minor"/>
      </rPr>
      <t>base to power of 1 is base.</t>
    </r>
  </si>
  <si>
    <r>
      <rPr>
        <b/>
        <sz val="11"/>
        <color theme="1"/>
        <rFont val="Aptos Narrow"/>
        <family val="2"/>
        <scheme val="minor"/>
      </rPr>
      <t>Standard:</t>
    </r>
    <r>
      <rPr>
        <sz val="11"/>
        <color theme="1"/>
        <rFont val="Aptos Narrow"/>
        <family val="2"/>
        <scheme val="minor"/>
      </rPr>
      <t xml:space="preserve"> base to power of 0.</t>
    </r>
  </si>
  <si>
    <t>{10}</t>
  </si>
  <si>
    <t>core_BigInt.USqrt</t>
  </si>
  <si>
    <t>n={15}
seed={4}
k=7</t>
  </si>
  <si>
    <t>n={100}
seed={11}
k=7</t>
  </si>
  <si>
    <r>
      <rPr>
        <b/>
        <sz val="11"/>
        <color theme="1"/>
        <rFont val="Aptos Narrow"/>
        <family val="2"/>
        <scheme val="minor"/>
      </rPr>
      <t xml:space="preserve">Standard: </t>
    </r>
    <r>
      <rPr>
        <sz val="11"/>
        <color theme="1"/>
        <rFont val="Aptos Narrow"/>
        <family val="2"/>
        <scheme val="minor"/>
      </rPr>
      <t xml:space="preserve">Small non-perfect square. Evaluates oscillation floor and </t>
    </r>
    <r>
      <rPr>
        <sz val="10"/>
        <color rgb="FF444746"/>
        <rFont val="Google Sans Text"/>
        <family val="2"/>
      </rPr>
      <t>k</t>
    </r>
    <r>
      <rPr>
        <sz val="11"/>
        <color rgb="FF1F1F1F"/>
        <rFont val="Arial"/>
        <family val="2"/>
      </rPr>
      <t xml:space="preserve"> context.</t>
    </r>
  </si>
  <si>
    <r>
      <rPr>
        <b/>
        <sz val="11"/>
        <color theme="1"/>
        <rFont val="Aptos Narrow"/>
        <family val="2"/>
        <scheme val="minor"/>
      </rPr>
      <t>Array Boundary:</t>
    </r>
    <r>
      <rPr>
        <sz val="11"/>
        <color theme="1"/>
        <rFont val="Aptos Narrow"/>
        <family val="2"/>
        <scheme val="minor"/>
      </rPr>
      <t xml:space="preserve"> Multi-limb division, halving, and magnitude comparisons.</t>
    </r>
  </si>
  <si>
    <t>{3641828;351}</t>
  </si>
  <si>
    <t>core_BigInt.NewtonRaphsonReciprocal</t>
  </si>
  <si>
    <t>b={3}
target_len=1
k=7</t>
  </si>
  <si>
    <t>b={2}
target_len=2
k=7</t>
  </si>
  <si>
    <t>b={1234567; 890}
target_len=2
k=7</t>
  </si>
  <si>
    <t>b={0; 0; 1}
target_len=3
k=7</t>
  </si>
  <si>
    <r>
      <rPr>
        <b/>
        <sz val="11"/>
        <color theme="1"/>
        <rFont val="Aptos Narrow"/>
        <family val="2"/>
        <scheme val="minor"/>
      </rPr>
      <t xml:space="preserve">Standard: </t>
    </r>
    <r>
      <rPr>
        <sz val="11"/>
        <color theme="1"/>
        <rFont val="Aptos Narrow"/>
        <family val="2"/>
        <scheme val="minor"/>
      </rPr>
      <t>Perfect square. Converges without oscillating past the root.</t>
    </r>
  </si>
  <si>
    <r>
      <rPr>
        <b/>
        <sz val="11"/>
        <color theme="1"/>
        <rFont val="Aptos Narrow"/>
        <family val="2"/>
        <scheme val="minor"/>
      </rPr>
      <t>Scalar approximation:</t>
    </r>
    <r>
      <rPr>
        <sz val="11"/>
        <color rgb="FF1F1F1F"/>
        <rFont val="Aptos Narrow"/>
        <family val="2"/>
        <scheme val="minor"/>
      </rPr>
      <t xml:space="preserve"> Evaluates $\lfloor 10^{14} / 3 \rfloor$. Ensures correct behavior when $B$ is a single limb and $n=1$.</t>
    </r>
  </si>
  <si>
    <r>
      <rPr>
        <b/>
        <sz val="11"/>
        <color theme="1"/>
        <rFont val="Aptos Narrow"/>
        <family val="2"/>
        <scheme val="minor"/>
      </rPr>
      <t>Upscaling exact divisors:</t>
    </r>
    <r>
      <rPr>
        <sz val="11"/>
        <color rgb="FF1F1F1F"/>
        <rFont val="Aptos Narrow"/>
        <family val="2"/>
        <scheme val="minor"/>
      </rPr>
      <t xml:space="preserve"> Evaluates $10^{28} / 2$. Ensures the zero-padding logic does not drop significance when shifting.</t>
    </r>
  </si>
  <si>
    <r>
      <rPr>
        <b/>
        <sz val="11"/>
        <color theme="1"/>
        <rFont val="Aptos Narrow"/>
        <family val="2"/>
        <scheme val="minor"/>
      </rPr>
      <t>Multi-limb approximation:</t>
    </r>
    <r>
      <rPr>
        <b/>
        <sz val="11"/>
        <color rgb="FF1F1F1F"/>
        <rFont val="Aptos Narrow"/>
        <family val="2"/>
        <scheme val="minor"/>
      </rPr>
      <t xml:space="preserve"> </t>
    </r>
    <r>
      <rPr>
        <sz val="11"/>
        <color rgb="FF1F1F1F"/>
        <rFont val="Aptos Narrow"/>
        <family val="2"/>
        <scheme val="minor"/>
      </rPr>
      <t>Divisor is $8901234567$. Evaluates $\lfloor 10^{28} / 8901234567 \rfloor$.</t>
    </r>
  </si>
  <si>
    <r>
      <rPr>
        <b/>
        <sz val="11"/>
        <color theme="1"/>
        <rFont val="Aptos Narrow"/>
        <family val="2"/>
        <scheme val="minor"/>
      </rPr>
      <t>Power-of-base exactness:</t>
    </r>
    <r>
      <rPr>
        <b/>
        <sz val="11"/>
        <color rgb="FF1F1F1F"/>
        <rFont val="Aptos Narrow"/>
        <family val="2"/>
        <scheme val="minor"/>
      </rPr>
      <t xml:space="preserve"> </t>
    </r>
    <r>
      <rPr>
        <sz val="11"/>
        <color rgb="FF1F1F1F"/>
        <rFont val="Aptos Narrow"/>
        <family val="2"/>
        <scheme val="minor"/>
      </rPr>
      <t>Divisor is exactly $10^{14}$. Evaluates $10^{42} / 10^{14}$. Verifies edge-case behavior when $B$ perfectly matches internal base chunking.</t>
    </r>
  </si>
  <si>
    <t>core_BigInt.NewtonRaphsonDiv</t>
  </si>
  <si>
    <t>Over-estimation vulnerability: Forces the integer-scaled reciprocal to slightly over-estimate Q, triggering the USub invariant violation.</t>
  </si>
  <si>
    <t>Under-estimation limits: Evaluates whether the sweep correctly catches and resolves truncation drifts.</t>
  </si>
  <si>
    <t>Fractional bypass: A &lt; B. Should instantly return {0} for Q and exact A for R.</t>
  </si>
  <si>
    <t>Exact division (small): Verifies that exactly matching bounds do not cause off-by-one errors in either direction.</t>
  </si>
  <si>
    <t>Exact division (large arrays): Tests bounds logic crossing the array size scaling shift inside the reciprocal calculation.</t>
  </si>
  <si>
    <t>{1;1;3333333;3333333}</t>
  </si>
  <si>
    <t>{1;999999;0}</t>
  </si>
  <si>
    <t>{1;0;12}</t>
  </si>
  <si>
    <t>{1;0;0;0;10}</t>
  </si>
  <si>
    <t>a={4567890; 7890123; 123456}
b={3641830; 351}
k=7</t>
  </si>
  <si>
    <t>a={0; 0; 1}
b={3}
k=7</t>
  </si>
  <si>
    <t>a={999999}
b={1000000}
k=7</t>
  </si>
  <si>
    <t>a={144}
b={12}
k=7</t>
  </si>
  <si>
    <t>a={0; 0; 0; 0; 100}
b={0; 0; 10}
k=7</t>
  </si>
  <si>
    <t>{2;9744480;224;3641827;351}</t>
  </si>
  <si>
    <t>{2733835;3966724;11234}</t>
  </si>
  <si>
    <t>{0;0;0;0;1}</t>
  </si>
  <si>
    <t>n={4567890;7890123;123456}
seed={3641830; 351}
k=7</t>
  </si>
  <si>
    <t>{2;3;5;7}</t>
  </si>
  <si>
    <t>{2;3;5;7;11;13;17;19}</t>
  </si>
  <si>
    <r>
      <rPr>
        <b/>
        <sz val="11"/>
        <color theme="1"/>
        <rFont val="Aptos Narrow"/>
        <family val="2"/>
        <scheme val="minor"/>
      </rPr>
      <t xml:space="preserve">Minimum: </t>
    </r>
    <r>
      <rPr>
        <sz val="11"/>
        <color theme="1"/>
        <rFont val="Aptos Narrow"/>
        <family val="2"/>
        <scheme val="minor"/>
      </rPr>
      <t>Smallest prime boundary</t>
    </r>
  </si>
  <si>
    <r>
      <rPr>
        <b/>
        <sz val="11"/>
        <color theme="1"/>
        <rFont val="Aptos Narrow"/>
        <family val="2"/>
        <scheme val="minor"/>
      </rPr>
      <t>Standard:</t>
    </r>
    <r>
      <rPr>
        <sz val="11"/>
        <color theme="1"/>
        <rFont val="Aptos Narrow"/>
        <family val="2"/>
        <scheme val="minor"/>
      </rPr>
      <t xml:space="preserve"> small sequence</t>
    </r>
  </si>
  <si>
    <r>
      <rPr>
        <b/>
        <sz val="11"/>
        <color theme="1"/>
        <rFont val="Aptos Narrow"/>
        <family val="2"/>
        <scheme val="minor"/>
      </rPr>
      <t xml:space="preserve">Standard: </t>
    </r>
    <r>
      <rPr>
        <sz val="11"/>
        <color theme="1"/>
        <rFont val="Aptos Narrow"/>
        <family val="2"/>
        <scheme val="minor"/>
      </rPr>
      <t>Larger sequence verification</t>
    </r>
  </si>
  <si>
    <r>
      <rPr>
        <b/>
        <sz val="11"/>
        <color theme="1"/>
        <rFont val="Aptos Narrow"/>
        <family val="2"/>
        <scheme val="minor"/>
      </rPr>
      <t>Invalid:</t>
    </r>
    <r>
      <rPr>
        <sz val="11"/>
        <color theme="1"/>
        <rFont val="Aptos Narrow"/>
        <family val="2"/>
        <scheme val="minor"/>
      </rPr>
      <t xml:space="preserve"> Below mathematical minimum trap</t>
    </r>
  </si>
  <si>
    <r>
      <rPr>
        <b/>
        <sz val="11"/>
        <color theme="1"/>
        <rFont val="Aptos Narrow"/>
        <family val="2"/>
        <scheme val="minor"/>
      </rPr>
      <t xml:space="preserve">Invalid: </t>
    </r>
    <r>
      <rPr>
        <sz val="11"/>
        <color theme="1"/>
        <rFont val="Aptos Narrow"/>
        <family val="2"/>
        <scheme val="minor"/>
      </rPr>
      <t>Zero bounds trap</t>
    </r>
  </si>
  <si>
    <t>core_BigInt.NativePrimes</t>
  </si>
  <si>
    <t>n=10
primes={2; 3; 5; 7}</t>
  </si>
  <si>
    <t>n=5
primes={2; 3; 5}</t>
  </si>
  <si>
    <t>core_BigInt.TextTreeProd</t>
  </si>
  <si>
    <t>{5}</t>
  </si>
  <si>
    <t>{2;3}</t>
  </si>
  <si>
    <t>{2;3;4}</t>
  </si>
  <si>
    <t>{2;3;4;5}</t>
  </si>
  <si>
    <t>6</t>
  </si>
  <si>
    <t>24</t>
  </si>
  <si>
    <t>120</t>
  </si>
  <si>
    <r>
      <rPr>
        <b/>
        <sz val="11"/>
        <color theme="1"/>
        <rFont val="Aptos Narrow"/>
        <family val="2"/>
        <scheme val="minor"/>
      </rPr>
      <t>Even Elements:</t>
    </r>
    <r>
      <rPr>
        <sz val="11"/>
        <color theme="1"/>
        <rFont val="Aptos Narrow"/>
        <family val="2"/>
        <scheme val="minor"/>
      </rPr>
      <t xml:space="preserve"> folds two items.</t>
    </r>
  </si>
  <si>
    <r>
      <rPr>
        <b/>
        <sz val="11"/>
        <color theme="1"/>
        <rFont val="Aptos Narrow"/>
        <family val="2"/>
        <scheme val="minor"/>
      </rPr>
      <t>Odd Elements:</t>
    </r>
    <r>
      <rPr>
        <sz val="11"/>
        <color theme="1"/>
        <rFont val="Aptos Narrow"/>
        <family val="2"/>
        <scheme val="minor"/>
      </rPr>
      <t xml:space="preserve"> folds three items by padding with a fourth.</t>
    </r>
  </si>
  <si>
    <r>
      <rPr>
        <b/>
        <sz val="11"/>
        <color theme="1"/>
        <rFont val="Aptos Narrow"/>
        <family val="2"/>
        <scheme val="minor"/>
      </rPr>
      <t>Multi-Tier:</t>
    </r>
    <r>
      <rPr>
        <sz val="11"/>
        <color theme="1"/>
        <rFont val="Aptos Narrow"/>
        <family val="2"/>
        <scheme val="minor"/>
      </rPr>
      <t xml:space="preserve"> folding four items.</t>
    </r>
  </si>
  <si>
    <r>
      <rPr>
        <b/>
        <sz val="11"/>
        <color theme="1"/>
        <rFont val="Aptos Narrow"/>
        <family val="2"/>
        <scheme val="minor"/>
      </rPr>
      <t>Base:</t>
    </r>
    <r>
      <rPr>
        <sz val="11"/>
        <color theme="1"/>
        <rFont val="Aptos Narrow"/>
        <family val="2"/>
        <scheme val="minor"/>
      </rPr>
      <t xml:space="preserve"> bypasses one item.</t>
    </r>
  </si>
  <si>
    <t>core_BigInt.UTextMul</t>
  </si>
  <si>
    <t>a=123456
b=2</t>
  </si>
  <si>
    <t>246912</t>
  </si>
  <si>
    <t>a=1000
b=1000</t>
  </si>
  <si>
    <t>1000000</t>
  </si>
  <si>
    <t>a=0
b=123456789</t>
  </si>
  <si>
    <r>
      <rPr>
        <b/>
        <sz val="11"/>
        <color theme="1"/>
        <rFont val="Aptos Narrow"/>
        <family val="2"/>
        <scheme val="minor"/>
      </rPr>
      <t>Standard:</t>
    </r>
    <r>
      <rPr>
        <sz val="11"/>
        <color theme="1"/>
        <rFont val="Aptos Narrow"/>
        <family val="2"/>
        <scheme val="minor"/>
      </rPr>
      <t xml:space="preserve"> boundary max check.</t>
    </r>
  </si>
  <si>
    <r>
      <rPr>
        <b/>
        <sz val="11"/>
        <color theme="1"/>
        <rFont val="Aptos Narrow"/>
        <family val="2"/>
        <scheme val="minor"/>
      </rPr>
      <t>Magnitude Discrepancy:</t>
    </r>
    <r>
      <rPr>
        <sz val="11"/>
        <color theme="1"/>
        <rFont val="Aptos Narrow"/>
        <family val="2"/>
        <scheme val="minor"/>
      </rPr>
      <t xml:space="preserve"> Negative * positive is negative.</t>
    </r>
  </si>
  <si>
    <r>
      <rPr>
        <b/>
        <sz val="11"/>
        <color theme="1"/>
        <rFont val="Aptos Narrow"/>
        <family val="2"/>
        <scheme val="minor"/>
      </rPr>
      <t>Shift/Padding:</t>
    </r>
    <r>
      <rPr>
        <sz val="11"/>
        <color theme="1"/>
        <rFont val="Aptos Narrow"/>
        <family val="2"/>
        <scheme val="minor"/>
      </rPr>
      <t xml:space="preserve"> limbs extend</t>
    </r>
  </si>
  <si>
    <t>Zero factorial identity</t>
  </si>
  <si>
    <t>One factorial identity</t>
  </si>
  <si>
    <t>Standard small factorial evaluation</t>
  </si>
  <si>
    <t>Standard larger factorial evaluation</t>
  </si>
  <si>
    <t>Trap negative integer inputs</t>
  </si>
  <si>
    <t>Value bounds trap (Firewall 2)</t>
  </si>
  <si>
    <t>String length bounds trap (Firewall 1)</t>
  </si>
  <si>
    <t>10</t>
  </si>
  <si>
    <t>3628800</t>
  </si>
  <si>
    <t>-5</t>
  </si>
  <si>
    <t>9274</t>
  </si>
  <si>
    <t>10000</t>
  </si>
  <si>
    <t>BigInt.Fact</t>
  </si>
  <si>
    <t>Standard small boundary</t>
  </si>
  <si>
    <t>Even and zero exponents ($10!$ swing term excludes 3)</t>
  </si>
  <si>
    <t>core_BigInt.NativeSwingExponents</t>
  </si>
  <si>
    <t>{1;1;1}</t>
  </si>
  <si>
    <t>{2;2;0;1}</t>
  </si>
  <si>
    <t>Standard evaluation</t>
  </si>
  <si>
    <t>Multi-tier evaluation</t>
  </si>
  <si>
    <t>n=5
global_primes={2; 3; 5}</t>
  </si>
  <si>
    <t>n=10
global_primes={2; 3; 5; 7}</t>
  </si>
  <si>
    <t>core_BigInt.PrimeSwingKernel</t>
  </si>
  <si>
    <t>core_BigInt.TreeCompare</t>
  </si>
  <si>
    <t>range={42}
mode=1</t>
  </si>
  <si>
    <t>-10</t>
  </si>
  <si>
    <t>42</t>
  </si>
  <si>
    <t>range={10;20;5;30}
mode=1</t>
  </si>
  <si>
    <t>range={10;20;5;30}
mode=-1</t>
  </si>
  <si>
    <t>range={10;20;30}
mode=1</t>
  </si>
  <si>
    <t>range={10;20;30}
mode=-1</t>
  </si>
  <si>
    <t>range={-10;0;10}
mode=-1</t>
  </si>
  <si>
    <t>range={5;5;5}
mode=1</t>
  </si>
  <si>
    <r>
      <rPr>
        <b/>
        <sz val="11"/>
        <color theme="1"/>
        <rFont val="Aptos Narrow"/>
        <family val="2"/>
        <scheme val="minor"/>
      </rPr>
      <t>Max:</t>
    </r>
    <r>
      <rPr>
        <sz val="11"/>
        <color theme="1"/>
        <rFont val="Aptos Narrow"/>
        <family val="2"/>
        <scheme val="minor"/>
      </rPr>
      <t xml:space="preserve"> Even length array (perfect halving)</t>
    </r>
  </si>
  <si>
    <r>
      <rPr>
        <b/>
        <sz val="11"/>
        <color theme="1"/>
        <rFont val="Aptos Narrow"/>
        <family val="2"/>
        <scheme val="minor"/>
      </rPr>
      <t>Min:</t>
    </r>
    <r>
      <rPr>
        <sz val="11"/>
        <color theme="1"/>
        <rFont val="Aptos Narrow"/>
        <family val="2"/>
        <scheme val="minor"/>
      </rPr>
      <t xml:space="preserve"> Even length array (perfect halving)</t>
    </r>
  </si>
  <si>
    <r>
      <rPr>
        <b/>
        <sz val="11"/>
        <color theme="1"/>
        <rFont val="Aptos Narrow"/>
        <family val="2"/>
        <scheme val="minor"/>
      </rPr>
      <t>Max:</t>
    </r>
    <r>
      <rPr>
        <sz val="11"/>
        <color theme="1"/>
        <rFont val="Aptos Narrow"/>
        <family val="2"/>
        <scheme val="minor"/>
      </rPr>
      <t xml:space="preserve"> Odd length array (tests #PAD# sentinel short-circuit)</t>
    </r>
  </si>
  <si>
    <r>
      <rPr>
        <b/>
        <sz val="11"/>
        <color theme="1"/>
        <rFont val="Aptos Narrow"/>
        <family val="2"/>
        <scheme val="minor"/>
      </rPr>
      <t>Min:</t>
    </r>
    <r>
      <rPr>
        <sz val="11"/>
        <color theme="1"/>
        <rFont val="Aptos Narrow"/>
        <family val="2"/>
        <scheme val="minor"/>
      </rPr>
      <t xml:space="preserve"> Odd length array (tests #PAD# sentinel short-circuit)</t>
    </r>
  </si>
  <si>
    <r>
      <rPr>
        <b/>
        <sz val="11"/>
        <color theme="1"/>
        <rFont val="Aptos Narrow"/>
        <family val="2"/>
        <scheme val="minor"/>
      </rPr>
      <t xml:space="preserve">Min: </t>
    </r>
    <r>
      <rPr>
        <sz val="11"/>
        <color theme="1"/>
        <rFont val="Aptos Narrow"/>
        <family val="2"/>
        <scheme val="minor"/>
      </rPr>
      <t>Mixed signs</t>
    </r>
  </si>
  <si>
    <r>
      <rPr>
        <b/>
        <sz val="11"/>
        <color theme="1"/>
        <rFont val="Aptos Narrow"/>
        <family val="2"/>
        <scheme val="minor"/>
      </rPr>
      <t>Max:</t>
    </r>
    <r>
      <rPr>
        <sz val="11"/>
        <color theme="1"/>
        <rFont val="Aptos Narrow"/>
        <family val="2"/>
        <scheme val="minor"/>
      </rPr>
      <t xml:space="preserve"> Tie values</t>
    </r>
  </si>
  <si>
    <r>
      <rPr>
        <b/>
        <sz val="11"/>
        <color theme="1"/>
        <rFont val="Aptos Narrow"/>
        <family val="2"/>
        <scheme val="minor"/>
      </rPr>
      <t>Edge:</t>
    </r>
    <r>
      <rPr>
        <sz val="11"/>
        <color theme="1"/>
        <rFont val="Aptos Narrow"/>
        <family val="2"/>
        <scheme val="minor"/>
      </rPr>
      <t xml:space="preserve"> Single element array (Recursion base case $N=1$)</t>
    </r>
  </si>
  <si>
    <t>range={""}</t>
  </si>
  <si>
    <t>BigInt.Max</t>
  </si>
  <si>
    <t>range={10,20,5}</t>
  </si>
  <si>
    <t>range={007,8,09}</t>
  </si>
  <si>
    <t>range={10,abc}</t>
  </si>
  <si>
    <t>20</t>
  </si>
  <si>
    <t>9</t>
  </si>
  <si>
    <t>range={-0}</t>
  </si>
  <si>
    <r>
      <rPr>
        <b/>
        <sz val="11"/>
        <color theme="1"/>
        <rFont val="Aptos Narrow"/>
        <family val="2"/>
        <scheme val="minor"/>
      </rPr>
      <t>Standard:</t>
    </r>
    <r>
      <rPr>
        <sz val="11"/>
        <color theme="1"/>
        <rFont val="Aptos Narrow"/>
        <family val="2"/>
        <scheme val="minor"/>
      </rPr>
      <t xml:space="preserve"> Delegates to TreeCompare successfully</t>
    </r>
  </si>
  <si>
    <r>
      <rPr>
        <b/>
        <sz val="11"/>
        <color theme="1"/>
        <rFont val="Aptos Narrow"/>
        <family val="2"/>
        <scheme val="minor"/>
      </rPr>
      <t xml:space="preserve">Boundary: </t>
    </r>
    <r>
      <rPr>
        <sz val="11"/>
        <color theme="1"/>
        <rFont val="Aptos Narrow"/>
        <family val="2"/>
        <scheme val="minor"/>
      </rPr>
      <t>Normalizes leading zeros before comparison</t>
    </r>
  </si>
  <si>
    <r>
      <rPr>
        <b/>
        <sz val="11"/>
        <color theme="1"/>
        <rFont val="Aptos Narrow"/>
        <family val="2"/>
        <scheme val="minor"/>
      </rPr>
      <t>Error:</t>
    </r>
    <r>
      <rPr>
        <sz val="11"/>
        <color theme="1"/>
        <rFont val="Aptos Narrow"/>
        <family val="2"/>
        <scheme val="minor"/>
      </rPr>
      <t xml:space="preserve"> Invalid character triggers Norm fail-fast</t>
    </r>
  </si>
  <si>
    <r>
      <rPr>
        <b/>
        <sz val="11"/>
        <color theme="1"/>
        <rFont val="Aptos Narrow"/>
        <family val="2"/>
        <scheme val="minor"/>
      </rPr>
      <t xml:space="preserve">Edge: </t>
    </r>
    <r>
      <rPr>
        <sz val="11"/>
        <color theme="1"/>
        <rFont val="Aptos Narrow"/>
        <family val="2"/>
        <scheme val="minor"/>
      </rPr>
      <t>negative zero coerced to zero</t>
    </r>
  </si>
  <si>
    <t>BigInt.Min</t>
  </si>
  <si>
    <t>7</t>
  </si>
  <si>
    <r>
      <rPr>
        <b/>
        <sz val="11"/>
        <color theme="1"/>
        <rFont val="Aptos Narrow"/>
        <family val="2"/>
        <scheme val="minor"/>
      </rPr>
      <t>Edge:</t>
    </r>
    <r>
      <rPr>
        <sz val="11"/>
        <color theme="1"/>
        <rFont val="Aptos Narrow"/>
        <family val="2"/>
        <scheme val="minor"/>
      </rPr>
      <t xml:space="preserve"> Empty array fallback (intercepted before engine)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</si>
</sst>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color theme="1"/>
      <name val="Arial Unicode MS"/>
    </font>
    <font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Google Sans Text"/>
      <family val="2"/>
    </font>
    <font>
      <sz val="11"/>
      <color rgb="FF1F1F1F"/>
      <name val="Arial"/>
      <family val="2"/>
    </font>
    <font>
      <sz val="10"/>
      <color rgb="FF444746"/>
      <name val="Google Sans Text"/>
      <family val="2"/>
    </font>
    <font>
      <sz val="11"/>
      <color rgb="FF1F1F1F"/>
      <name val="Aptos Narrow"/>
      <family val="2"/>
      <scheme val="minor"/>
    </font>
    <font>
      <b/>
      <sz val="11"/>
      <color rgb="FF1F1F1F"/>
      <name val="Aptos Narrow"/>
      <family val="2"/>
      <scheme val="minor"/>
    </font>
    <font>
      <sz val="11"/>
      <color rgb="FF444746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5" fillId="3" borderId="3" applyNumberFormat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Continuous"/>
    </xf>
    <xf numFmtId="0" fontId="0" fillId="0" borderId="0" xfId="0" quotePrefix="1"/>
    <xf numFmtId="3" fontId="0" fillId="0" borderId="0" xfId="0" quotePrefix="1" applyNumberFormat="1"/>
    <xf numFmtId="0" fontId="1" fillId="0" borderId="0" xfId="0" applyFont="1"/>
    <xf numFmtId="0" fontId="2" fillId="2" borderId="2" xfId="0" applyFont="1" applyFill="1" applyBorder="1" applyAlignment="1">
      <alignment horizontal="centerContinuous"/>
    </xf>
    <xf numFmtId="0" fontId="0" fillId="0" borderId="0" xfId="0" applyAlignment="1">
      <alignment horizontal="center"/>
    </xf>
    <xf numFmtId="0" fontId="0" fillId="0" borderId="0" xfId="0" quotePrefix="1" applyAlignment="1">
      <alignment vertical="top" wrapText="1"/>
    </xf>
    <xf numFmtId="0" fontId="0" fillId="0" borderId="0" xfId="0" quotePrefix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14" fillId="2" borderId="1" xfId="0" applyFont="1" applyFill="1" applyBorder="1"/>
    <xf numFmtId="0" fontId="15" fillId="3" borderId="3" xfId="1" applyAlignment="1">
      <alignment horizontal="centerContinuous"/>
    </xf>
  </cellXfs>
  <cellStyles count="2">
    <cellStyle name="Input" xfId="1" builtinId="20"/>
    <cellStyle name="Normal" xfId="0" builtinId="0"/>
  </cellStyles>
  <dxfs count="32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 val="0"/>
      </font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border outline="0">
        <top style="medium">
          <color theme="1"/>
        </top>
      </border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 val="0"/>
      </font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border outline="0">
        <top style="medium">
          <color theme="1"/>
        </top>
      </border>
    </dxf>
    <dxf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numFmt numFmtId="0" formatCode="General"/>
    </dxf>
    <dxf>
      <numFmt numFmtId="0" formatCode="General"/>
    </dxf>
    <dxf>
      <border outline="0">
        <top style="medium">
          <color theme="1"/>
        </top>
      </border>
    </dxf>
    <dxf>
      <font>
        <b val="0"/>
      </font>
    </dxf>
    <dxf>
      <numFmt numFmtId="0" formatCode="General"/>
    </dxf>
    <dxf>
      <numFmt numFmtId="0" formatCode="General"/>
    </dxf>
    <dxf>
      <border outline="0">
        <top style="medium">
          <color theme="1"/>
        </top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 Narrow"/>
        <family val="2"/>
        <scheme val="minor"/>
      </font>
      <alignment horizontal="general" vertical="top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 Narrow"/>
        <family val="2"/>
        <scheme val="minor"/>
      </font>
      <alignment horizontal="general" vertical="top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 Narrow"/>
        <family val="2"/>
        <scheme val="minor"/>
      </font>
      <alignment horizontal="general" vertical="top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</dxf>
    <dxf>
      <alignment horizontal="general" vertical="top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border outline="0">
        <top style="medium">
          <color theme="1"/>
        </top>
      </border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general" vertical="top" textRotation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border outline="0">
        <top style="medium">
          <color theme="1"/>
        </top>
      </border>
    </dxf>
    <dxf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general" vertical="top" textRotation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general" vertical="top" textRotation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border outline="0">
        <top style="medium">
          <color theme="1"/>
        </top>
      </border>
    </dxf>
    <dxf>
      <alignment horizontal="general" vertical="top" textRotation="0" indent="0" justifyLastLine="0" shrinkToFit="0" readingOrder="0"/>
    </dxf>
    <dxf>
      <numFmt numFmtId="0" formatCode="General"/>
    </dxf>
    <dxf>
      <numFmt numFmtId="0" formatCode="General"/>
    </dxf>
    <dxf>
      <border outline="0">
        <top style="medium">
          <color theme="1"/>
        </top>
      </border>
    </dxf>
    <dxf>
      <numFmt numFmtId="0" formatCode="General"/>
    </dxf>
    <dxf>
      <numFmt numFmtId="0" formatCode="General"/>
    </dxf>
    <dxf>
      <border outline="0">
        <top style="medium">
          <color theme="1"/>
        </top>
      </border>
    </dxf>
    <dxf>
      <numFmt numFmtId="0" formatCode="General"/>
    </dxf>
    <dxf>
      <numFmt numFmtId="0" formatCode="General"/>
    </dxf>
    <dxf>
      <border outline="0">
        <top style="medium">
          <color theme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  <alignment horizontal="general" vertical="top" textRotation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numFmt numFmtId="0" formatCode="General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23/09/relationships/Python" Target="python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172358</xdr:colOff>
      <xdr:row>1</xdr:row>
      <xdr:rowOff>50800</xdr:rowOff>
    </xdr:from>
    <xdr:ext cx="296683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D087023-715A-2D1F-9F3B-CB102AD0A362}"/>
                </a:ext>
              </a:extLst>
            </xdr:cNvPr>
            <xdr:cNvSpPr txBox="1"/>
          </xdr:nvSpPr>
          <xdr:spPr>
            <a:xfrm>
              <a:off x="172358" y="235857"/>
              <a:ext cx="29668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>
                        <a:latin typeface="Cambria Math" panose="02040503050406030204" pitchFamily="18" charset="0"/>
                      </a:rPr>
                      <m:t>𝐿𝑜𝑔𝑂𝑑𝑑𝑠</m:t>
                    </m:r>
                    <m:r>
                      <a:rPr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</m:sSub>
                    <m:d>
                      <m:dPr>
                        <m:ctrlPr>
                          <a:rPr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>
                            <a:latin typeface="Cambria Math" panose="02040503050406030204" pitchFamily="18" charset="0"/>
                          </a:rPr>
                          <m:t>𝑙𝑒𝑛</m:t>
                        </m:r>
                        <m:r>
                          <a:rPr>
                            <a:latin typeface="Cambria Math" panose="02040503050406030204" pitchFamily="18" charset="0"/>
                          </a:rPr>
                          <m:t>_</m:t>
                        </m:r>
                        <m:r>
                          <a:rPr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</m:d>
                    <m:r>
                      <a:rPr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>
                            <a:latin typeface="Cambria Math" panose="02040503050406030204" pitchFamily="18" charset="0"/>
                          </a:rPr>
                          <m:t>𝑏</m:t>
                        </m:r>
                      </m:sub>
                    </m:sSub>
                    <m:d>
                      <m:dPr>
                        <m:ctrlPr>
                          <a:rPr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>
                            <a:latin typeface="Cambria Math" panose="02040503050406030204" pitchFamily="18" charset="0"/>
                          </a:rPr>
                          <m:t>𝑙𝑒𝑛</m:t>
                        </m:r>
                        <m:r>
                          <a:rPr>
                            <a:latin typeface="Cambria Math" panose="02040503050406030204" pitchFamily="18" charset="0"/>
                          </a:rPr>
                          <m:t>_</m:t>
                        </m:r>
                        <m:r>
                          <a:rPr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</m:d>
                    <m:r>
                      <a:rPr>
                        <a:latin typeface="Cambria Math" panose="02040503050406030204" pitchFamily="18" charset="0"/>
                      </a:rPr>
                      <m:t>+</m:t>
                    </m:r>
                    <m:r>
                      <a:rPr>
                        <a:latin typeface="Cambria Math" panose="02040503050406030204" pitchFamily="18" charset="0"/>
                      </a:rPr>
                      <m:t>𝐼𝑛𝑡𝑒𝑟𝑐𝑒𝑝𝑡</m:t>
                    </m:r>
                  </m:oMath>
                </m:oMathPara>
              </a14:m>
              <a:endParaRPr lang="en-NZ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D087023-715A-2D1F-9F3B-CB102AD0A362}"/>
                </a:ext>
              </a:extLst>
            </xdr:cNvPr>
            <xdr:cNvSpPr txBox="1"/>
          </xdr:nvSpPr>
          <xdr:spPr>
            <a:xfrm>
              <a:off x="172358" y="235857"/>
              <a:ext cx="29668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NZ" sz="1100" i="0">
                  <a:latin typeface="Cambria Math" panose="02040503050406030204" pitchFamily="18" charset="0"/>
                </a:rPr>
                <a:t>𝐿𝑜𝑔𝑂𝑑𝑑𝑠=𝑊_𝑎 (𝑙𝑒𝑛_𝑎)+𝑊_𝑏 (𝑙𝑒𝑛_𝑏)+𝐼𝑛𝑡𝑒𝑟𝑐𝑒𝑝𝑡</a:t>
              </a:r>
              <a:endParaRPr lang="en-NZ" sz="1100"/>
            </a:p>
          </xdr:txBody>
        </xdr:sp>
      </mc:Fallback>
    </mc:AlternateContent>
    <xdr:clientData/>
  </xdr:oneCellAnchor>
  <xdr:oneCellAnchor>
    <xdr:from>
      <xdr:col>3</xdr:col>
      <xdr:colOff>34471</xdr:colOff>
      <xdr:row>6</xdr:row>
      <xdr:rowOff>27214</xdr:rowOff>
    </xdr:from>
    <xdr:ext cx="3281539" cy="13528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F253E8-B6B9-C2B7-4A73-4F79FD2BEA19}"/>
                </a:ext>
              </a:extLst>
            </xdr:cNvPr>
            <xdr:cNvSpPr txBox="1"/>
          </xdr:nvSpPr>
          <xdr:spPr>
            <a:xfrm>
              <a:off x="2334985" y="1239157"/>
              <a:ext cx="3281539" cy="13528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>
                        <a:latin typeface="Cambria Math" panose="02040503050406030204" pitchFamily="18" charset="0"/>
                      </a:rPr>
                      <m:t>0.005791</m:t>
                    </m:r>
                    <m:d>
                      <m:dPr>
                        <m:ctrlPr>
                          <a:rPr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>
                            <a:latin typeface="Cambria Math" panose="02040503050406030204" pitchFamily="18" charset="0"/>
                          </a:rPr>
                          <m:t>𝑙𝑒𝑛</m:t>
                        </m:r>
                        <m:r>
                          <a:rPr>
                            <a:latin typeface="Cambria Math" panose="02040503050406030204" pitchFamily="18" charset="0"/>
                          </a:rPr>
                          <m:t>_</m:t>
                        </m:r>
                        <m:r>
                          <a:rPr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</m:d>
                    <m:r>
                      <a:rPr>
                        <a:latin typeface="Cambria Math" panose="02040503050406030204" pitchFamily="18" charset="0"/>
                      </a:rPr>
                      <m:t>−0.053705</m:t>
                    </m:r>
                    <m:d>
                      <m:dPr>
                        <m:ctrlPr>
                          <a:rPr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>
                            <a:latin typeface="Cambria Math" panose="02040503050406030204" pitchFamily="18" charset="0"/>
                          </a:rPr>
                          <m:t>𝑙𝑒</m:t>
                        </m:r>
                        <m:sSub>
                          <m:sSubPr>
                            <m:ctrlPr>
                              <a:rPr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>
                                <a:latin typeface="Cambria Math" panose="02040503050406030204" pitchFamily="18" charset="0"/>
                              </a:rPr>
                              <m:t>𝑏</m:t>
                            </m:r>
                          </m:sub>
                        </m:sSub>
                      </m:e>
                    </m:d>
                    <m:r>
                      <a:rPr>
                        <a:latin typeface="Cambria Math" panose="02040503050406030204" pitchFamily="18" charset="0"/>
                      </a:rPr>
                      <m:t>−11.917287=0</m:t>
                    </m:r>
                  </m:oMath>
                </m:oMathPara>
              </a14:m>
              <a:endParaRPr lang="en-US" sz="1100"/>
            </a:p>
            <a:p>
              <a:endParaRPr lang="en-NZ" sz="1100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>
                        <a:latin typeface="Cambria Math" panose="02040503050406030204" pitchFamily="18" charset="0"/>
                      </a:rPr>
                      <m:t>−0.053705</m:t>
                    </m:r>
                    <m:d>
                      <m:dPr>
                        <m:ctrlPr>
                          <a:rPr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>
                            <a:latin typeface="Cambria Math" panose="02040503050406030204" pitchFamily="18" charset="0"/>
                          </a:rPr>
                          <m:t>𝑙𝑒</m:t>
                        </m:r>
                        <m:sSub>
                          <m:sSubPr>
                            <m:ctrlPr>
                              <a:rPr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>
                                <a:latin typeface="Cambria Math" panose="02040503050406030204" pitchFamily="18" charset="0"/>
                              </a:rPr>
                              <m:t>𝑏</m:t>
                            </m:r>
                          </m:sub>
                        </m:sSub>
                      </m:e>
                    </m:d>
                    <m:r>
                      <a:rPr>
                        <a:latin typeface="Cambria Math" panose="02040503050406030204" pitchFamily="18" charset="0"/>
                      </a:rPr>
                      <m:t>=−0.005791</m:t>
                    </m:r>
                    <m:d>
                      <m:dPr>
                        <m:ctrlPr>
                          <a:rPr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>
                            <a:latin typeface="Cambria Math" panose="02040503050406030204" pitchFamily="18" charset="0"/>
                          </a:rPr>
                          <m:t>𝑙𝑒</m:t>
                        </m:r>
                        <m:sSub>
                          <m:sSubPr>
                            <m:ctrlPr>
                              <a:rPr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>
                                <a:latin typeface="Cambria Math" panose="02040503050406030204" pitchFamily="18" charset="0"/>
                              </a:rPr>
                              <m:t>𝑎</m:t>
                            </m:r>
                          </m:sub>
                        </m:sSub>
                      </m:e>
                    </m:d>
                    <m:r>
                      <a:rPr>
                        <a:latin typeface="Cambria Math" panose="02040503050406030204" pitchFamily="18" charset="0"/>
                      </a:rPr>
                      <m:t>+11.917288</m:t>
                    </m:r>
                  </m:oMath>
                </m:oMathPara>
              </a14:m>
              <a:endParaRPr lang="en-US" sz="1100"/>
            </a:p>
            <a:p>
              <a:endParaRPr lang="en-NZ" sz="110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>
                        <a:latin typeface="Cambria Math" panose="02040503050406030204" pitchFamily="18" charset="0"/>
                      </a:rPr>
                      <m:t>𝑙𝑒𝑛</m:t>
                    </m:r>
                    <m:r>
                      <a:rPr>
                        <a:latin typeface="Cambria Math" panose="02040503050406030204" pitchFamily="18" charset="0"/>
                      </a:rPr>
                      <m:t>_</m:t>
                    </m:r>
                    <m:r>
                      <a:rPr>
                        <a:latin typeface="Cambria Math" panose="02040503050406030204" pitchFamily="18" charset="0"/>
                      </a:rPr>
                      <m:t>𝑏</m:t>
                    </m:r>
                    <m:r>
                      <a:rPr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>
                            <a:latin typeface="Cambria Math" panose="02040503050406030204" pitchFamily="18" charset="0"/>
                          </a:rPr>
                          <m:t>0.005791</m:t>
                        </m:r>
                        <m:d>
                          <m:dPr>
                            <m:ctrlPr>
                              <a:rPr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>
                                <a:latin typeface="Cambria Math" panose="02040503050406030204" pitchFamily="18" charset="0"/>
                              </a:rPr>
                              <m:t>𝑙𝑒𝑛</m:t>
                            </m:r>
                            <m:r>
                              <a:rPr>
                                <a:latin typeface="Cambria Math" panose="02040503050406030204" pitchFamily="18" charset="0"/>
                              </a:rPr>
                              <m:t>_</m:t>
                            </m:r>
                            <m:r>
                              <a:rPr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d>
                        <m:r>
                          <a:rPr>
                            <a:latin typeface="Cambria Math" panose="02040503050406030204" pitchFamily="18" charset="0"/>
                          </a:rPr>
                          <m:t>−11.917288</m:t>
                        </m:r>
                      </m:num>
                      <m:den>
                        <m:r>
                          <a:rPr>
                            <a:latin typeface="Cambria Math" panose="02040503050406030204" pitchFamily="18" charset="0"/>
                          </a:rPr>
                          <m:t>0.053705</m:t>
                        </m:r>
                      </m:den>
                    </m:f>
                  </m:oMath>
                </m:oMathPara>
              </a14:m>
              <a:endParaRPr lang="en-NZ" sz="1100"/>
            </a:p>
            <a:p>
              <a:endParaRPr lang="en-NZ" sz="1100" i="0">
                <a:latin typeface="+mn-lt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>
                        <a:latin typeface="Cambria Math" panose="02040503050406030204" pitchFamily="18" charset="0"/>
                      </a:rPr>
                      <m:t>𝑙𝑒𝑛</m:t>
                    </m:r>
                    <m:r>
                      <a:rPr>
                        <a:latin typeface="Cambria Math" panose="02040503050406030204" pitchFamily="18" charset="0"/>
                      </a:rPr>
                      <m:t>_</m:t>
                    </m:r>
                    <m:r>
                      <a:rPr>
                        <a:latin typeface="Cambria Math" panose="02040503050406030204" pitchFamily="18" charset="0"/>
                      </a:rPr>
                      <m:t>𝑏</m:t>
                    </m:r>
                    <m:r>
                      <a:rPr>
                        <a:latin typeface="Cambria Math" panose="02040503050406030204" pitchFamily="18" charset="0"/>
                      </a:rPr>
                      <m:t>=0.107821</m:t>
                    </m:r>
                    <m:d>
                      <m:dPr>
                        <m:ctrlPr>
                          <a:rPr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>
                            <a:latin typeface="Cambria Math" panose="02040503050406030204" pitchFamily="18" charset="0"/>
                          </a:rPr>
                          <m:t>𝑙𝑒𝑛</m:t>
                        </m:r>
                        <m:r>
                          <a:rPr>
                            <a:latin typeface="Cambria Math" panose="02040503050406030204" pitchFamily="18" charset="0"/>
                          </a:rPr>
                          <m:t>_</m:t>
                        </m:r>
                        <m:r>
                          <a:rPr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</m:d>
                    <m:r>
                      <a:rPr>
                        <a:latin typeface="Cambria Math" panose="02040503050406030204" pitchFamily="18" charset="0"/>
                      </a:rPr>
                      <m:t>−221.9022</m:t>
                    </m:r>
                  </m:oMath>
                </m:oMathPara>
              </a14:m>
              <a:endParaRPr lang="en-NZ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F253E8-B6B9-C2B7-4A73-4F79FD2BEA19}"/>
                </a:ext>
              </a:extLst>
            </xdr:cNvPr>
            <xdr:cNvSpPr txBox="1"/>
          </xdr:nvSpPr>
          <xdr:spPr>
            <a:xfrm>
              <a:off x="2334985" y="1239157"/>
              <a:ext cx="3281539" cy="13528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0.005791</a:t>
              </a:r>
              <a:r>
                <a:rPr lang="en-NZ" sz="1100" i="0">
                  <a:latin typeface="Cambria Math" panose="02040503050406030204" pitchFamily="18" charset="0"/>
                </a:rPr>
                <a:t>(𝑙𝑒𝑛_𝑎)−</a:t>
              </a:r>
              <a:r>
                <a:rPr lang="en-US" sz="1100" b="0" i="0">
                  <a:latin typeface="Cambria Math" panose="02040503050406030204" pitchFamily="18" charset="0"/>
                </a:rPr>
                <a:t>0.053705</a:t>
              </a:r>
              <a:r>
                <a:rPr lang="en-NZ" sz="1100" i="0">
                  <a:latin typeface="Cambria Math" panose="02040503050406030204" pitchFamily="18" charset="0"/>
                </a:rPr>
                <a:t>(𝑙𝑒𝑛_𝑏 )−11.917287=0</a:t>
              </a:r>
              <a:endParaRPr lang="en-US" sz="1100"/>
            </a:p>
            <a:p>
              <a:endParaRPr lang="en-NZ" sz="1100">
                <a:latin typeface="Cambria Math" panose="02040503050406030204" pitchFamily="18" charset="0"/>
              </a:endParaRPr>
            </a:p>
            <a:p>
              <a:r>
                <a:rPr lang="en-NZ" sz="1100" i="0">
                  <a:latin typeface="Cambria Math" panose="02040503050406030204" pitchFamily="18" charset="0"/>
                </a:rPr>
                <a:t>−</a:t>
              </a:r>
              <a:r>
                <a:rPr lang="en-NZ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0.053705</a:t>
              </a:r>
              <a:r>
                <a:rPr lang="en-NZ" sz="1100" i="0">
                  <a:latin typeface="Cambria Math" panose="02040503050406030204" pitchFamily="18" charset="0"/>
                </a:rPr>
                <a:t>(𝑙𝑒𝑛_𝑏 )=−</a:t>
              </a:r>
              <a:r>
                <a:rPr lang="en-NZ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0.00579</a:t>
              </a:r>
              <a:r>
                <a:rPr lang="en-US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NZ" sz="1100" i="0">
                  <a:latin typeface="Cambria Math" panose="02040503050406030204" pitchFamily="18" charset="0"/>
                </a:rPr>
                <a:t>(𝑙𝑒𝑛_𝑎 )+11.91728</a:t>
              </a:r>
              <a:r>
                <a:rPr lang="en-US" sz="1100" b="0" i="0">
                  <a:latin typeface="Cambria Math" panose="02040503050406030204" pitchFamily="18" charset="0"/>
                </a:rPr>
                <a:t>8</a:t>
              </a:r>
              <a:endParaRPr lang="en-US" sz="1100"/>
            </a:p>
            <a:p>
              <a:endParaRPr lang="en-NZ" sz="1100" i="1">
                <a:latin typeface="Cambria Math" panose="02040503050406030204" pitchFamily="18" charset="0"/>
              </a:endParaRPr>
            </a:p>
            <a:p>
              <a:r>
                <a:rPr lang="en-NZ" sz="1100" i="0">
                  <a:latin typeface="Cambria Math" panose="02040503050406030204" pitchFamily="18" charset="0"/>
                </a:rPr>
                <a:t>𝑙𝑒𝑛_𝑏=(</a:t>
              </a:r>
              <a:r>
                <a:rPr lang="en-NZ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0.00579</a:t>
              </a:r>
              <a:r>
                <a:rPr lang="en-US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NZ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NZ" sz="1100" i="0">
                  <a:latin typeface="Cambria Math" panose="02040503050406030204" pitchFamily="18" charset="0"/>
                </a:rPr>
                <a:t>𝑙𝑒𝑛_𝑎)−11.91728</a:t>
              </a:r>
              <a:r>
                <a:rPr lang="en-US" sz="1100" b="0" i="0">
                  <a:latin typeface="Cambria Math" panose="02040503050406030204" pitchFamily="18" charset="0"/>
                </a:rPr>
                <a:t>8</a:t>
              </a:r>
              <a:r>
                <a:rPr lang="en-NZ" sz="1100" b="0" i="0">
                  <a:latin typeface="Cambria Math" panose="02040503050406030204" pitchFamily="18" charset="0"/>
                </a:rPr>
                <a:t>)/</a:t>
              </a:r>
              <a:r>
                <a:rPr lang="en-NZ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0.053705</a:t>
              </a:r>
              <a:endParaRPr lang="en-NZ" sz="1100"/>
            </a:p>
            <a:p>
              <a:endParaRPr lang="en-NZ" sz="1100" i="0">
                <a:latin typeface="+mn-lt"/>
              </a:endParaRPr>
            </a:p>
            <a:p>
              <a:r>
                <a:rPr lang="en-NZ" sz="1100" i="0">
                  <a:latin typeface="Cambria Math" panose="02040503050406030204" pitchFamily="18" charset="0"/>
                </a:rPr>
                <a:t>𝑙𝑒𝑛_𝑏=</a:t>
              </a:r>
              <a:r>
                <a:rPr lang="en-NZ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0.107821</a:t>
              </a:r>
              <a:r>
                <a:rPr lang="en-NZ" sz="1100" i="0">
                  <a:latin typeface="Cambria Math" panose="02040503050406030204" pitchFamily="18" charset="0"/>
                </a:rPr>
                <a:t>(𝑙𝑒𝑛_𝑎)−221.90</a:t>
              </a:r>
              <a:r>
                <a:rPr lang="en-US" sz="1100" b="0" i="0">
                  <a:latin typeface="Cambria Math" panose="02040503050406030204" pitchFamily="18" charset="0"/>
                </a:rPr>
                <a:t>2</a:t>
              </a:r>
              <a:r>
                <a:rPr lang="en-NZ" sz="1100" i="0">
                  <a:latin typeface="Cambria Math" panose="02040503050406030204" pitchFamily="18" charset="0"/>
                </a:rPr>
                <a:t>2</a:t>
              </a:r>
              <a:endParaRPr lang="en-NZ" sz="1100"/>
            </a:p>
          </xdr:txBody>
        </xdr:sp>
      </mc:Fallback>
    </mc:AlternateContent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98C9D4-D9A3-414B-919E-1762A05E858C}" name="Norm_Tests" displayName="Norm_Tests" ref="A7:E26" totalsRowCount="1">
  <tableColumns count="5">
    <tableColumn id="1" xr3:uid="{2D415719-D29C-4B5B-8EEC-D6B547CA5D0E}" name="input" dataDxfId="328"/>
    <tableColumn id="3" xr3:uid="{0ACC712F-EB7B-43DA-9965-8A4957A95DA2}" name="expected"/>
    <tableColumn id="2" xr3:uid="{25F1E681-6FC0-4609-BF1F-1FF79BEB3CD8}" name="output" dataDxfId="327">
      <calculatedColumnFormula array="1">internal.xlInt.Norm(Norm_Tests[[#This Row],[input]])</calculatedColumnFormula>
    </tableColumn>
    <tableColumn id="4" xr3:uid="{20432306-08A1-43B4-9B37-03610B79D73B}" name="passing" totalsRowFunction="custom" dataDxfId="326">
      <calculatedColumnFormula>IF(ISERROR(Norm_Tests[[#This Row],[expected]]),
    ERROR.TYPE(Norm_Tests[[#This Row],[expected]]) = ERROR.TYPE(Norm_Tests[[#This Row],[output]]),
    Norm_Tests[[#This Row],[expected]] = Norm_Tests[[#This Row],[output]]
)</calculatedColumnFormula>
      <totalsRowFormula>AND(Norm_Tests[passing])</totalsRowFormula>
    </tableColumn>
    <tableColumn id="5" xr3:uid="{8B1194D9-7C50-4CB6-AF1A-D821B8844064}" name="test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11AB36-7D48-42C4-B8E7-63DA272F75B3}" name="SafeK_Tests" displayName="SafeK_Tests" ref="A29:E37" totalsRowCount="1" dataDxfId="325">
  <tableColumns count="5">
    <tableColumn id="2" xr3:uid="{CD46518C-03B6-4B43-A7B8-7360525A290D}" name="input" dataDxfId="324"/>
    <tableColumn id="3" xr3:uid="{F3B44865-B013-44C5-A9D4-1A13BFE5AA81}" name="expected" dataDxfId="323"/>
    <tableColumn id="4" xr3:uid="{F40E0393-EF6C-4B2D-9F49-5CBB088EB267}" name="output" dataDxfId="322">
      <calculatedColumnFormula array="1">_xlfn.LET(
    _xlpm.op_items, _xlfn.REGEXEXTRACT(SafeK_Tests[[#This Row],[input]], "=\s*\{?\K[\w,; .-]*", 1),
    _xlpm.op, INDEX(_xlpm.op_items,1,1),
    _xlpm.max_items, _xlfn.NUMBERVALUE(INDEX(_xlpm.op_items,1,2)),
    _xlpm.output, internal.xlInt.Split(bigint, k),
    internal.xlInt.SafeK(_xlpm.op, _xlpm.max_items)
)</calculatedColumnFormula>
    </tableColumn>
    <tableColumn id="5" xr3:uid="{62988A37-52EF-4F3E-82FE-0F2CD420BEF5}" name="passing" totalsRowFunction="custom" dataDxfId="321">
      <calculatedColumnFormula>IF(ISERROR(SafeK_Tests[[#This Row],[expected]]),
    ERROR.TYPE(SafeK_Tests[[#This Row],[expected]]) = ERROR.TYPE(SafeK_Tests[[#This Row],[output]]),
    SafeK_Tests[[#This Row],[expected]] = SafeK_Tests[[#This Row],[output]]
)</calculatedColumnFormula>
      <totalsRowFormula>AND(SafeK_Tests[passing])</totalsRowFormula>
    </tableColumn>
    <tableColumn id="6" xr3:uid="{FB9EC421-276B-4C54-8F46-BB5C01271314}" name="test" dataDxfId="320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2A19D7-7C16-4083-8935-15B833EE4AF1}" name="Merge_Tests" displayName="Merge_Tests" ref="A40:E46" totalsRowCount="1">
  <tableColumns count="5">
    <tableColumn id="2" xr3:uid="{2286D15B-F261-49FF-90E5-E32FAEEEA489}" name="input"/>
    <tableColumn id="3" xr3:uid="{1D45A0AC-7049-4C3E-9D4F-CF777F60006B}" name="expected"/>
    <tableColumn id="4" xr3:uid="{725B7147-ED3D-42D7-9030-A0FCAF6502D0}" name="output" dataDxfId="319">
      <calculatedColumnFormula array="1">_xlfn.LET(
    _xlpm.limbs_k, _xlfn.REGEXEXTRACT(Merge_Tests[[#This Row],[input]], "=\s*\{?\K[\w,; .-]*", 1),
    _xlpm.limbs_text, INDEX(_xlpm.limbs_k,1,1),
    _xlpm.k, --INDEX(_xlpm.limbs_k,1,2),
    _xlpm.limbs, --_xlfn.TEXTSPLIT(_xlpm.limbs_text,",",";"),
    internal.xlInt.Merge(_xlpm.limbs, _xlpm.k)
)</calculatedColumnFormula>
    </tableColumn>
    <tableColumn id="5" xr3:uid="{7D40DA54-4D50-4770-9171-9F50106783D7}" name="passing" totalsRowFunction="custom" dataDxfId="318">
      <calculatedColumnFormula>IF(ISERROR(Merge_Tests[[#This Row],[expected]]),
    ERROR.TYPE(Merge_Tests[[#This Row],[expected]]) = ERROR.TYPE(Merge_Tests[[#This Row],[output]]),
    Merge_Tests[[#This Row],[expected]] = Merge_Tests[[#This Row],[output]]
)</calculatedColumnFormula>
      <totalsRowFormula>AND(Merge_Tests[passing])</totalsRowFormula>
    </tableColumn>
    <tableColumn id="6" xr3:uid="{F906F95B-0DD5-4F50-9A36-C63DEC4B514C}" name="test" dataDxfId="317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BE14E9C-9052-4C6B-91B5-74156B78161B}" name="IsZero_Tests" displayName="IsZero_Tests" ref="A63:E71" totalsRowCount="1" tableBorderDxfId="316">
  <tableColumns count="5">
    <tableColumn id="1" xr3:uid="{F079B266-FBE5-40B3-929D-6B075F83B32A}" name="input"/>
    <tableColumn id="2" xr3:uid="{D2EFB528-67FC-4490-876A-C72813F17A1C}" name="expected"/>
    <tableColumn id="3" xr3:uid="{735E5B6C-B3DA-49E2-B1F3-88323DE570B4}" name="output" dataDxfId="315">
      <calculatedColumnFormula array="1">xlInt.IsZero(IsZero_Tests[[#This Row],[input]])</calculatedColumnFormula>
    </tableColumn>
    <tableColumn id="4" xr3:uid="{BCB92B9B-DD7D-407D-BA1B-01844C06231A}" name="passing" totalsRowFunction="custom" dataDxfId="314">
      <calculatedColumnFormula>IF(ISERROR(IsZero_Tests[[#This Row],[expected]]),
    ERROR.TYPE(IsZero_Tests[[#This Row],[expected]]) = ERROR.TYPE(IsZero_Tests[[#This Row],[output]]),
    IsZero_Tests[[#This Row],[expected]] = IsZero_Tests[[#This Row],[output]]
)</calculatedColumnFormula>
      <totalsRowFormula>AND(IsZero_Tests[passing])</totalsRowFormula>
    </tableColumn>
    <tableColumn id="5" xr3:uid="{8ED053CD-8DA0-4927-813A-9FB79048913C}" name="test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F9E4160-7872-486B-BC10-496D23C60B5A}" name="IsNeg_Tests" displayName="IsNeg_Tests" ref="A74:E82" totalsRowCount="1" tableBorderDxfId="313">
  <tableColumns count="5">
    <tableColumn id="1" xr3:uid="{A7BB892B-ECAA-4176-AFC6-3449690829CA}" name="input"/>
    <tableColumn id="2" xr3:uid="{4B67C433-DA3F-4DC8-A14F-97407C2E1925}" name="expected"/>
    <tableColumn id="3" xr3:uid="{49ED0D04-2AA3-4848-8297-CAE5A7D726CD}" name="output" dataDxfId="312">
      <calculatedColumnFormula array="1">xlInt.IsNeg(IsNeg_Tests[[#This Row],[input]])</calculatedColumnFormula>
    </tableColumn>
    <tableColumn id="4" xr3:uid="{186FF00B-FED3-490C-BB63-2A0FC55A43D4}" name="passing" totalsRowFunction="custom" dataDxfId="311">
      <calculatedColumnFormula>IF(ISERROR(IsNeg_Tests[[#This Row],[expected]]),
    ERROR.TYPE(IsNeg_Tests[[#This Row],[expected]]) = ERROR.TYPE(IsNeg_Tests[[#This Row],[output]]),
    IsNeg_Tests[[#This Row],[expected]] = IsNeg_Tests[[#This Row],[output]]
)</calculatedColumnFormula>
      <totalsRowFormula>AND(IsNeg_Tests[passing])</totalsRowFormula>
    </tableColumn>
    <tableColumn id="5" xr3:uid="{B0CDEB01-118B-4827-8AE6-4202F57F1029}" name="test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631B68B-6D5A-402C-92F6-EDA45141B375}" name="Abs_Tests" displayName="Abs_Tests" ref="A85:E94" totalsRowCount="1" tableBorderDxfId="310">
  <tableColumns count="5">
    <tableColumn id="1" xr3:uid="{631C43FF-F966-4712-8BEB-7647066AF179}" name="input"/>
    <tableColumn id="2" xr3:uid="{70F5476C-B45C-439B-BA01-326EAD467334}" name="expected"/>
    <tableColumn id="3" xr3:uid="{1E90CD50-A25E-4E12-84D5-66BAAE6BAF0C}" name="output" dataDxfId="309">
      <calculatedColumnFormula array="1">BigInt.Abs(Abs_Tests[[#This Row],[input]])</calculatedColumnFormula>
    </tableColumn>
    <tableColumn id="4" xr3:uid="{6A0B92CA-92B2-4515-86E8-D91A4279D44E}" name="passing" totalsRowFunction="custom" dataDxfId="308">
      <calculatedColumnFormula>IF(ISERROR(Abs_Tests[[#This Row],[expected]]),
    ERROR.TYPE(Abs_Tests[[#This Row],[expected]]) = ERROR.TYPE(Abs_Tests[[#This Row],[output]]),
    Abs_Tests[[#This Row],[expected]] = Abs_Tests[[#This Row],[output]]
)</calculatedColumnFormula>
      <totalsRowFormula>AND(Abs_Tests[passing])</totalsRowFormula>
    </tableColumn>
    <tableColumn id="5" xr3:uid="{B096D0C4-7FA9-4FB7-92D2-18269F650FA6}" name="test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4A096D6-4E75-4455-A80B-D324779CD007}" name="Compare_Tests" displayName="Compare_Tests" ref="A97:E104" totalsRowCount="1" dataDxfId="307" tableBorderDxfId="306">
  <tableColumns count="5">
    <tableColumn id="2" xr3:uid="{6ED51130-CCEE-49F5-AE6A-C115477DEEC1}" name="input" dataDxfId="305"/>
    <tableColumn id="3" xr3:uid="{33B3A3D6-83B3-431F-A0B0-9371BBC16D08}" name="expected" dataDxfId="304"/>
    <tableColumn id="4" xr3:uid="{C0A2BAFD-DD64-4B6D-8350-F0AF699F41AB}" name="output" dataDxfId="303">
      <calculatedColumnFormula array="1">_xlfn.LET(
    _xlpm.ab, _xlfn.REGEXEXTRACT(Compare_Tests[[#This Row],[input]], "=\s*\{?\K[\w,; .-]*", 1),
    _xlpm.a, INDEX(_xlpm.ab,1,1),
    _xlpm.b, INDEX(_xlpm.ab,1,2),
    xlInt.Compare(_xlpm.a, _xlpm.b)
)</calculatedColumnFormula>
    </tableColumn>
    <tableColumn id="5" xr3:uid="{25151C64-2D6E-4B12-87AA-02A64ED9EF2B}" name="passing" totalsRowFunction="custom" dataDxfId="302">
      <calculatedColumnFormula>IF(ISERROR(Compare_Tests[[#This Row],[expected]]),
    ERROR.TYPE(Compare_Tests[[#This Row],[expected]]) = ERROR.TYPE(Compare_Tests[[#This Row],[output]]),
    Compare_Tests[[#This Row],[expected]] = Compare_Tests[[#This Row],[output]]
)</calculatedColumnFormula>
      <totalsRowFormula>AND(Compare_Tests[passing])</totalsRowFormula>
    </tableColumn>
    <tableColumn id="6" xr3:uid="{D859FAE6-EDFC-42C5-8B0C-0116D05E04F4}" name="test" dataDxfId="301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B2483E8-D478-4FD2-B96C-83A98FDDE6FA}" name="Carry_Tests" displayName="Carry_Tests" ref="A107:E114" totalsRowCount="1" dataDxfId="300">
  <tableColumns count="5">
    <tableColumn id="2" xr3:uid="{58CF3EAC-5FAD-4E1D-8349-AFD0026A5A6F}" name="input" dataDxfId="299"/>
    <tableColumn id="3" xr3:uid="{8D4EBB1D-1F70-4D9A-B9FB-C7B03997C3F4}" name="expected" dataDxfId="298"/>
    <tableColumn id="4" xr3:uid="{54C37EF8-27DA-477C-BC79-632DD5E54F03}" name="output" dataDxfId="297">
      <calculatedColumnFormula array="1">_xlfn.LET(
    _xlpm.limbs_k, _xlfn.REGEXEXTRACT(Carry_Tests[[#This Row],[input]], "=\s*\{?\K[\w,; .-]*", 1),
    _xlpm.limbs_text, INDEX(_xlpm.limbs_k,1,1),
    _xlpm.k, --INDEX(_xlpm.limbs_k,1,2),
    _xlpm.limbs, --_xlfn.TEXTSPLIT(_xlpm.limbs_text,",",";"),
    _xlpm.output, internal.xlInt.Carry(_xlpm.limbs, _xlpm.k),
    _xlfn.ARRAYTOTEXT(_xlpm.output, 1)
)</calculatedColumnFormula>
    </tableColumn>
    <tableColumn id="5" xr3:uid="{9B430B30-AE60-423D-A6BE-D7D881CBC2A0}" name="passing" totalsRowFunction="custom" dataDxfId="296">
      <calculatedColumnFormula>IF(ISERROR(Carry_Tests[[#This Row],[expected]]),
    ERROR.TYPE(Carry_Tests[[#This Row],[expected]]) = ERROR.TYPE(Carry_Tests[[#This Row],[output]]),
    Carry_Tests[[#This Row],[expected]] = Carry_Tests[[#This Row],[output]]
)</calculatedColumnFormula>
      <totalsRowFormula>AND(Carry_Tests[passing])</totalsRowFormula>
    </tableColumn>
    <tableColumn id="6" xr3:uid="{5F961C10-163D-49CE-93C1-9CA6C9C623CA}" name="test" dataDxfId="295"/>
  </tableColumns>
  <tableStyleInfo name="TableStyleMedium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541B332-DEB4-4260-9226-40E8C97DC59F}" name="UAdd_Tests" displayName="UAdd_Tests" ref="A117:E124" totalsRowCount="1" dataDxfId="294" tableBorderDxfId="293">
  <tableColumns count="5">
    <tableColumn id="2" xr3:uid="{6C5FB7CE-3B1F-447E-9ED3-14E839061137}" name="input" dataDxfId="292"/>
    <tableColumn id="3" xr3:uid="{56E7CDEA-877C-47CA-B875-1A1313998480}" name="expected" dataDxfId="291"/>
    <tableColumn id="4" xr3:uid="{0AB7FE18-4035-4604-909F-956B1054DE95}" name="output" dataDxfId="290">
      <calculatedColumnFormula array="1">_xlfn.LET(
    _xlpm.abk, _xlfn.REGEXEXTRACT(UAdd_Tests[[#This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internal.xlInt.UAdd(_xlpm.limbs_a, _xlpm.limbs_b, _xlpm.k),
    _xlfn.ARRAYTOTEXT(_xlpm.output, 1)
)</calculatedColumnFormula>
    </tableColumn>
    <tableColumn id="5" xr3:uid="{148597F1-9D9D-45C9-949B-CA15D869DE95}" name="passing" totalsRowFunction="custom" dataDxfId="289">
      <calculatedColumnFormula>IF(ISERROR(UAdd_Tests[[#This Row],[expected]]),
    ERROR.TYPE(UAdd_Tests[[#This Row],[expected]]) = ERROR.TYPE(UAdd_Tests[[#This Row],[output]]),
    UAdd_Tests[[#This Row],[expected]] = UAdd_Tests[[#This Row],[output]]
)</calculatedColumnFormula>
      <totalsRowFormula>AND(UAdd_Tests[passing])</totalsRowFormula>
    </tableColumn>
    <tableColumn id="6" xr3:uid="{58290239-17D2-42FA-BE94-887F938260F4}" name="test" dataDxfId="288"/>
  </tableColumns>
  <tableStyleInfo name="TableStyleMedium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EBF05F-998F-47D8-A8F8-63C4E2771074}" name="UCompare_Tests" displayName="UCompare_Tests" ref="A127:E135" totalsRowCount="1" dataDxfId="287">
  <tableColumns count="5">
    <tableColumn id="1" xr3:uid="{3554FEAC-3E95-4439-BF1F-B262B64D139D}" name="input" dataDxfId="286"/>
    <tableColumn id="2" xr3:uid="{0EA61E63-F894-4F39-983A-67C6CDEA4B1D}" name="expected" dataDxfId="285"/>
    <tableColumn id="3" xr3:uid="{B6F49B44-504D-4599-9F1E-49B98046B44D}" name="output" dataDxfId="284">
      <calculatedColumnFormula array="1">_xlfn.LET(
    _xlpm.abk, _xlfn.REGEXEXTRACT(UCompare_Tests[[#This Row],[input]], "=\s*\{?\K[\w,; .-]*", 1),
    _xlpm.a, INDEX(_xlpm.abk,1,1),
    _xlpm.b, INDEX(_xlpm.abk,1,2),
    _xlpm.limbs_a, --_xlfn.TEXTSPLIT(_xlpm.a,",",";"),
    _xlpm.limbs_b, --_xlfn.TEXTSPLIT(_xlpm.b,",",";"),
    internal.xlInt.UCompare(_xlpm.limbs_a, _xlpm.limbs_b)
)</calculatedColumnFormula>
    </tableColumn>
    <tableColumn id="4" xr3:uid="{96B8A7F0-899C-4301-95D3-41FB0BA096A7}" name="passing" totalsRowFunction="custom" dataDxfId="283">
      <calculatedColumnFormula>IF(ISERROR(UCompare_Tests[[#This Row],[expected]]),
    ERROR.TYPE(UCompare_Tests[[#This Row],[expected]]) = ERROR.TYPE(UCompare_Tests[[#This Row],[output]]),
    UCompare_Tests[[#This Row],[expected]] = UCompare_Tests[[#This Row],[output]]
)</calculatedColumnFormula>
      <totalsRowFormula>AND(UCompare_Tests[passing])</totalsRowFormula>
    </tableColumn>
    <tableColumn id="5" xr3:uid="{C5539D24-4ADC-4D77-B82F-27DAF4B3F109}" name="test" dataDxfId="282"/>
  </tableColumns>
  <tableStyleInfo name="TableStyleMedium1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E817537-E6E9-4069-8E14-531A3E42821F}" name="Internal_Sign_Tests" displayName="Internal_Sign_Tests" ref="A49:E60" totalsRowCount="1" tableBorderDxfId="281">
  <tableColumns count="5">
    <tableColumn id="1" xr3:uid="{C5C6E024-5D15-4650-BC06-AE3A9A4A3F9E}" name="input"/>
    <tableColumn id="2" xr3:uid="{2E349FE8-D8E4-4ABE-B47E-F0985AA6C672}" name="expected"/>
    <tableColumn id="3" xr3:uid="{49844921-4B71-4B13-957C-917C2841A9A3}" name="output" dataDxfId="280">
      <calculatedColumnFormula array="1">xlInt.Sign(Internal_Sign_Tests[[#This Row],[input]])</calculatedColumnFormula>
    </tableColumn>
    <tableColumn id="4" xr3:uid="{0236DB85-60E5-4DC6-9655-C6D58A63C8D4}" name="passing" totalsRowFunction="custom" dataDxfId="279">
      <calculatedColumnFormula>IF(ISERROR(Internal_Sign_Tests[[#This Row],[expected]]),
    ERROR.TYPE(Internal_Sign_Tests[[#This Row],[expected]]) = ERROR.TYPE(Internal_Sign_Tests[[#This Row],[output]]),
    Internal_Sign_Tests[[#This Row],[expected]] = Internal_Sign_Tests[[#This Row],[output]]
)</calculatedColumnFormula>
      <totalsRowFormula>AND(Internal_Sign_Tests[passing])</totalsRowFormula>
    </tableColumn>
    <tableColumn id="5" xr3:uid="{396092C1-DC4F-4532-BB59-E0E779D9A525}" name="test" dataDxfId="278"/>
  </tableColumns>
  <tableStyleInfo name="TableStyleMedium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BF11AA1-9F01-403A-A5A2-CDAF85E5F9D0}" name="USub_Tests" displayName="USub_Tests" ref="A138:E146" totalsRowCount="1" dataDxfId="277">
  <tableColumns count="5">
    <tableColumn id="1" xr3:uid="{5B979D84-AD0F-45AF-AB26-6C75CA981E58}" name="input" dataDxfId="276"/>
    <tableColumn id="2" xr3:uid="{D8895FB5-11F4-4379-9B45-0D72ADA71E57}" name="expected" dataDxfId="275"/>
    <tableColumn id="3" xr3:uid="{A4DDD8AE-0CC0-457E-A08D-2C94591CF878}" name="output" dataDxfId="274">
      <calculatedColumnFormula array="1">_xlfn.LET(
    _xlpm.abk, _xlfn.REGEXEXTRACT(USub_Tests[[#This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internal.xlInt.USub(_xlpm.limbs_a, _xlpm.limbs_b, _xlpm.k),
    _xlfn.ARRAYTOTEXT(_xlpm.output, 1)
)</calculatedColumnFormula>
    </tableColumn>
    <tableColumn id="4" xr3:uid="{BF616718-1C7F-4627-B496-8B6339CC2735}" name="passing" totalsRowFunction="custom" dataDxfId="273">
      <calculatedColumnFormula>IF(ISERROR(USub_Tests[[#This Row],[expected]]),
    ERROR.TYPE(USub_Tests[[#This Row],[expected]]) = ERROR.TYPE(USub_Tests[[#This Row],[output]]),
    USub_Tests[[#This Row],[expected]] = USub_Tests[[#This Row],[output]]
)</calculatedColumnFormula>
      <totalsRowFormula>AND(USub_Tests[passing])</totalsRowFormula>
    </tableColumn>
    <tableColumn id="5" xr3:uid="{FCF52C7D-4E82-4BAA-8C93-974211CAC2AF}" name="test" dataDxfId="272"/>
  </tableColumns>
  <tableStyleInfo name="TableStyleMedium1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5433254-33A6-4D35-8484-91940B628217}" name="Table6" displayName="Table6" ref="A149:E160" totalsRowCount="1" dataDxfId="271">
  <tableColumns count="5">
    <tableColumn id="1" xr3:uid="{D52F6D10-66CD-4765-927A-94A578D3C30A}" name="input" dataDxfId="270" totalsRowDxfId="269"/>
    <tableColumn id="2" xr3:uid="{DF2BEEE3-E1EF-4EA0-A6A8-77B06FB5C3EE}" name="expected" dataDxfId="268"/>
    <tableColumn id="3" xr3:uid="{4FDE8849-AFE2-471E-8131-C5B45620EBDC}" name="output" dataDxfId="267">
      <calculatedColumnFormula array="1">_xlfn.LET(
    _xlpm.input, _xlfn.REGEXEXTRACT(Table6[[#This Row],[input]], "=\s*\{?\K[\w,; .-]*", 1),
    _xlpm.a, INDEX(_xlpm.input,1,1),
    _xlpm.b, INDEX(_xlpm.input,1,2),
    _xlpm.sign_a, --INDEX(_xlpm.input,1,3),
    _xlpm.sign_b, --INDEX(_xlpm.input,1,4),
    _xlpm.k, --INDEX(_xlpm.input,1,5),
    _xlpm.limbs_a, --_xlfn.TEXTSPLIT(_xlpm.a,",",";"),
    _xlpm.limbs_b, --_xlfn.TEXTSPLIT(_xlpm.b,",",";"),
    _xlpm.output, internal.xlInt.AddSubRouter(_xlpm.limbs_a, _xlpm.limbs_b, _xlpm.sign_a, _xlpm.sign_b, _xlpm.k),
    _xlfn.ARRAYTOTEXT(_xlpm.output, 1)
)</calculatedColumnFormula>
    </tableColumn>
    <tableColumn id="4" xr3:uid="{5813AECE-7F35-45E7-8E1F-50DCC8404156}" name="passing" totalsRowFunction="custom" dataDxfId="266" totalsRowDxfId="265">
      <calculatedColumnFormula>IF(ISERROR(Table6[[#This Row],[expected]]),
    ERROR.TYPE(Table6[[#This Row],[expected]]) = ERROR.TYPE(Table6[[#This Row],[output]]),
    Table6[[#This Row],[expected]] = Table6[[#This Row],[output]]
)</calculatedColumnFormula>
      <totalsRowFormula>AND(Table6[passing])</totalsRowFormula>
    </tableColumn>
    <tableColumn id="5" xr3:uid="{6FEE6B80-DF03-48AD-BE0B-5CF10BB9952D}" name="test" dataDxfId="264"/>
  </tableColumns>
  <tableStyleInfo name="TableStyleMedium1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9918742-71F1-4CEE-8B31-04D0864B12BE}" name="Add_Tests" displayName="Add_Tests" ref="A163:E169" totalsRowCount="1" dataDxfId="263">
  <tableColumns count="5">
    <tableColumn id="1" xr3:uid="{BEDCABA1-70E6-4A6B-A326-B96D805DC792}" name="input" dataDxfId="262"/>
    <tableColumn id="2" xr3:uid="{D2C344B5-4A5B-4F69-8FCC-B73D81DE29AD}" name="expected" dataDxfId="261"/>
    <tableColumn id="3" xr3:uid="{B095BBF3-B41C-4F5B-9689-A075BCD3B3C6}" name="output" dataDxfId="260">
      <calculatedColumnFormula array="1">_xlfn.LET(
    _xlpm.ab, _xlfn.REGEXEXTRACT(Add_Tests[[#This Row],[input]], "=\s*\{?\K[\w,; .-]*", 1),
    _xlpm.a, INDEX(_xlpm.ab,1,1),
    _xlpm.b, INDEX(_xlpm.ab,1,2),
    xlInt.Add(_xlpm.a, _xlpm.b)
)</calculatedColumnFormula>
    </tableColumn>
    <tableColumn id="4" xr3:uid="{8A3FC5E9-718D-42AA-90B8-83E1D4F3B18A}" name="passing" totalsRowFunction="custom" dataDxfId="259" totalsRowDxfId="258">
      <calculatedColumnFormula>IF(ISERROR(Add_Tests[[#This Row],[expected]]),
    ERROR.TYPE(Add_Tests[[#This Row],[expected]]) = ERROR.TYPE(Add_Tests[[#This Row],[output]]),
    Add_Tests[[#This Row],[expected]] = Add_Tests[[#This Row],[output]]
)</calculatedColumnFormula>
      <totalsRowFormula>AND(Add_Tests[passing])</totalsRowFormula>
    </tableColumn>
    <tableColumn id="5" xr3:uid="{DCB35414-E71F-476D-B8FC-5C98625552A8}" name="test" dataDxfId="257"/>
  </tableColumns>
  <tableStyleInfo name="TableStyleMedium1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E30AD6A-E7CB-4B0A-9AF6-2A68597C812D}" name="Sub_Tests" displayName="Sub_Tests" ref="A172:E176" totalsRowCount="1" dataDxfId="256">
  <tableColumns count="5">
    <tableColumn id="1" xr3:uid="{03074968-5409-421B-94C4-D5670F4C41D8}" name="input" dataDxfId="255"/>
    <tableColumn id="2" xr3:uid="{DDFFA8C5-FCAB-4C4D-9AD1-92357F9E25A7}" name="expected" dataDxfId="254"/>
    <tableColumn id="3" xr3:uid="{799B106A-FDF6-4F6C-8D67-8B6355524DD8}" name="output" dataDxfId="253">
      <calculatedColumnFormula array="1">_xlfn.LET(
    _xlpm.ab, _xlfn.REGEXEXTRACT(Sub_Tests[[#This Row],[input]], "=\s*\{?\K[\w,; .-]*", 1),
    _xlpm.a, INDEX(_xlpm.ab,1,1),
    _xlpm.b, INDEX(_xlpm.ab,1,2),
    xlInt.Sub(_xlpm.a, _xlpm.b)
)</calculatedColumnFormula>
    </tableColumn>
    <tableColumn id="4" xr3:uid="{365F4930-D4D1-407A-94F0-4578BEFB456D}" name="passing" totalsRowFunction="custom" dataDxfId="252" totalsRowDxfId="251">
      <calculatedColumnFormula>IF(ISERROR(Sub_Tests[[#This Row],[expected]]),
    ERROR.TYPE(Sub_Tests[[#This Row],[expected]]) = ERROR.TYPE(Sub_Tests[[#This Row],[output]]),
    Sub_Tests[[#This Row],[expected]] = Sub_Tests[[#This Row],[output]]
)</calculatedColumnFormula>
      <totalsRowFormula>AND(Sub_Tests[passing])</totalsRowFormula>
    </tableColumn>
    <tableColumn id="5" xr3:uid="{CD9B4489-0AA4-43C4-9B29-8D70A32DD746}" name="test" dataDxfId="250"/>
  </tableColumns>
  <tableStyleInfo name="TableStyleMedium16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E3906E7-DD79-4AAB-8367-36E413E4200E}" name="Split_Tests" displayName="Split_Tests" ref="A179:E183" totalsRowCount="1" dataDxfId="249">
  <tableColumns count="5">
    <tableColumn id="1" xr3:uid="{14CAD510-CB82-4DB3-9F1C-40F2CB704D1C}" name="input" dataDxfId="248"/>
    <tableColumn id="2" xr3:uid="{5035D4AE-F48A-40D0-AF90-BDA3391536CB}" name="expected" dataDxfId="247"/>
    <tableColumn id="3" xr3:uid="{99876D23-ABB8-4C24-98A4-1BEEEEDD07C4}" name="output" dataDxfId="246">
      <calculatedColumnFormula>_xlfn.LET(
    _xlpm.input_k, _xlfn.REGEXEXTRACT(Split_Tests[[#This Row],[input]], "=\s*\{?\K[\w,; .-]*", 1),
    _xlpm.input, INDEX(_xlpm.input_k,1,1),
    _xlpm.bigints, IF(_xlfn.REGEXTEST(_xlpm.input, "[,;]"), _xlfn.TEXTSPLIT(_xlpm.input, ",", ";"), _xlpm.input),
    _xlpm.k, --INDEX(_xlpm.input_k,1,2),
    _xlpm.output, internal.xlInt.Split(_xlpm.bigints, _xlpm.k),
    _xlfn.ARRAYTOTEXT(_xlpm.output, 1)
)</calculatedColumnFormula>
    </tableColumn>
    <tableColumn id="4" xr3:uid="{A5A07BB4-21F2-4B01-9D44-1AA4366EAB7F}" name="passing" totalsRowFunction="custom" dataDxfId="245" totalsRowDxfId="244">
      <calculatedColumnFormula>IF(ISERROR(Split_Tests[[#This Row],[expected]]),
    ERROR.TYPE(Split_Tests[[#This Row],[expected]]) = ERROR.TYPE(Split_Tests[[#This Row],[output]]),
    Split_Tests[[#This Row],[expected]] = Split_Tests[[#This Row],[output]]
)</calculatedColumnFormula>
      <totalsRowFormula>AND(Split_Tests[passing])</totalsRowFormula>
    </tableColumn>
    <tableColumn id="5" xr3:uid="{12903E1A-EF63-4775-8029-4AC6E1371182}" name="test" dataDxfId="243"/>
  </tableColumns>
  <tableStyleInfo name="TableStyleMedium16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4199465-17FF-401D-8825-47D1965ACDD0}" name="UMatrixSum_Tests" displayName="UMatrixSum_Tests" ref="A186:E191" totalsRowCount="1" dataDxfId="242">
  <tableColumns count="5">
    <tableColumn id="1" xr3:uid="{02600896-7D14-484F-821B-B4456983BB28}" name="input" dataDxfId="241"/>
    <tableColumn id="2" xr3:uid="{173735CF-904D-4F11-81E2-08E18A2E350F}" name="expected" dataDxfId="240"/>
    <tableColumn id="3" xr3:uid="{39C7D243-2D28-43C6-84E9-009686A8BE25}" name="output" dataDxfId="239">
      <calculatedColumnFormula>_xlfn.LET(
    _xlpm.limbs_k, _xlfn.REGEXEXTRACT(UMatrixSum_Tests[[#This Row],[input]], "=\s*\{?\K[\w,; .-]*", 1),
    _xlpm.limbs, _xlfn.TEXTSPLIT(INDEX(_xlpm.limbs_k,1,1), ",", ";"),
    _xlpm.k, --INDEX(_xlpm.limbs_k,1,2),
    _xlpm.output, internal.xlInt.UMatrixSum(_xlpm.limbs, _xlpm.k),
    _xlfn.ARRAYTOTEXT(_xlpm.output, 1)
)</calculatedColumnFormula>
    </tableColumn>
    <tableColumn id="4" xr3:uid="{708213D7-3DCF-48EE-85F0-411FE836D86B}" name="passing" totalsRowFunction="custom" dataDxfId="238" totalsRowDxfId="237">
      <calculatedColumnFormula>IF(ISERROR(UMatrixSum_Tests[[#This Row],[expected]]),
    ERROR.TYPE(UMatrixSum_Tests[[#This Row],[expected]]) = ERROR.TYPE(UMatrixSum_Tests[[#This Row],[output]]),
    UMatrixSum_Tests[[#This Row],[expected]] = UMatrixSum_Tests[[#This Row],[output]]
)</calculatedColumnFormula>
      <totalsRowFormula>AND(UMatrixSum_Tests[passing])</totalsRowFormula>
    </tableColumn>
    <tableColumn id="5" xr3:uid="{1A2B4059-059A-4B6D-8573-AF782E91D2A9}" name="test" dataDxfId="236"/>
  </tableColumns>
  <tableStyleInfo name="TableStyleMedium16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F956B3D-7766-4EB7-9AE5-DD00F267BF6E}" name="Sum_Tests" displayName="Sum_Tests" ref="A194:E202" totalsRowCount="1">
  <tableColumns count="5">
    <tableColumn id="1" xr3:uid="{9C2FC9B7-0634-4588-8EFB-AD967A0F24A8}" name="input"/>
    <tableColumn id="2" xr3:uid="{282A94A0-1EBE-4152-8A9A-8F0EF95A0338}" name="expected"/>
    <tableColumn id="3" xr3:uid="{1B45BBB4-DEF0-4F8A-9D99-3837C2C1D0A6}" name="output" dataDxfId="235">
      <calculatedColumnFormula array="1">_xlfn.LET(
    _xlpm.range, _xlfn.REGEXEXTRACT(Sum_Tests[[#This Row],[input]], "=\s*\{?\K[\w,; .-]*", 1),
    _xlpm.big_ints, IFERROR(_xlfn.TEXTSPLIT(INDEX(_xlpm.range,1,1), ",", ";"), ""),
    xlInt.Sum(_xlpm.big_ints)
)</calculatedColumnFormula>
    </tableColumn>
    <tableColumn id="4" xr3:uid="{EE8AD54F-5219-409B-ABCC-BA23AB35B017}" name="passing" totalsRowFunction="custom" dataDxfId="234" totalsRowDxfId="233">
      <calculatedColumnFormula>IF(ISERROR(Sum_Tests[[#This Row],[expected]]),
    ERROR.TYPE(Sum_Tests[[#This Row],[expected]]) = ERROR.TYPE(Sum_Tests[[#This Row],[output]]),
    Sum_Tests[[#This Row],[expected]] = Sum_Tests[[#This Row],[output]]
)</calculatedColumnFormula>
      <totalsRowFormula>AND(Sum_Tests[passing])</totalsRowFormula>
    </tableColumn>
    <tableColumn id="5" xr3:uid="{754F1004-C28D-4EA5-8C27-75DBE7533AB6}" name="test"/>
  </tableColumns>
  <tableStyleInfo name="TableStyleMedium1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6EA359-E4B0-4842-9C9A-062E9FF7B5FB}" name="UMul_Tests" displayName="UMul_Tests" ref="A205:E211" totalsRowCount="1" dataDxfId="232">
  <tableColumns count="5">
    <tableColumn id="1" xr3:uid="{8D4F0565-063F-4316-9C57-705162867D2A}" name="input" dataDxfId="231"/>
    <tableColumn id="2" xr3:uid="{DAD4A921-C714-4DCC-AADE-BAF6086A3636}" name="expected" dataDxfId="230"/>
    <tableColumn id="3" xr3:uid="{97E6E3DD-CA0A-4372-AC3D-9A495F7C3A53}" name="output" dataDxfId="229">
      <calculatedColumnFormula array="1">_xlfn.LET(
    _xlpm.abk, _xlfn.REGEXEXTRACT(UMul_Tests[[#This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internal.xlInt.UMul(_xlpm.limbs_a, _xlpm.limbs_b, _xlpm.k),
    _xlfn.ARRAYTOTEXT(_xlpm.output, 1)
)</calculatedColumnFormula>
    </tableColumn>
    <tableColumn id="4" xr3:uid="{E46610B1-FA9D-4582-8D0C-63D1EC61D64E}" name="passing" totalsRowFunction="custom" dataDxfId="228" totalsRowDxfId="227">
      <calculatedColumnFormula>IF(ISERROR(UMul_Tests[[#This Row],[expected]]),
    ERROR.TYPE(UMul_Tests[[#This Row],[expected]]) = ERROR.TYPE(UMul_Tests[[#This Row],[output]]),
    UMul_Tests[[#This Row],[expected]] = UMul_Tests[[#This Row],[output]]
)</calculatedColumnFormula>
      <totalsRowFormula>AND(UMul_Tests[passing])</totalsRowFormula>
    </tableColumn>
    <tableColumn id="5" xr3:uid="{5337E378-248A-4061-ABD9-D618DD84E539}" name="test" dataDxfId="226"/>
  </tableColumns>
  <tableStyleInfo name="TableStyleMedium1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927379E-9D9F-446A-A7F8-18937FDB3BE9}" name="Mul_Tests" displayName="Mul_Tests" ref="A214:E221" totalsRowCount="1" dataDxfId="225">
  <tableColumns count="5">
    <tableColumn id="1" xr3:uid="{3AEB129A-112F-4626-87D9-516E40338A3B}" name="input" dataDxfId="224" totalsRowDxfId="223"/>
    <tableColumn id="2" xr3:uid="{17E1D158-0134-4800-97A0-9A914A48AA8F}" name="expected" dataDxfId="222" totalsRowDxfId="221"/>
    <tableColumn id="3" xr3:uid="{B25D54E8-D438-48E6-9956-B82746478514}" name="output" dataDxfId="220" totalsRowDxfId="219">
      <calculatedColumnFormula array="1">_xlfn.LET(
    _xlpm.ab, _xlfn.REGEXEXTRACT(Mul_Tests[[#This Row],[input]], "=\s*\{?\K[\w,; .-]*", 1),
    _xlpm.a, INDEX(_xlpm.ab,1,1),
    _xlpm.b, INDEX(_xlpm.ab,1,2),
    xlInt.Mul(_xlpm.a, _xlpm.b)
)</calculatedColumnFormula>
    </tableColumn>
    <tableColumn id="4" xr3:uid="{5D503E6C-603A-418E-8D29-E96FF9E82626}" name="passing" totalsRowFunction="custom" dataDxfId="218" totalsRowDxfId="217">
      <calculatedColumnFormula>IF(ISERROR(Mul_Tests[[#This Row],[expected]]),
    ERROR.TYPE(Mul_Tests[[#This Row],[expected]]) = ERROR.TYPE(Mul_Tests[[#This Row],[output]]),
    Mul_Tests[[#This Row],[expected]] = Mul_Tests[[#This Row],[output]]
)</calculatedColumnFormula>
      <totalsRowFormula>AND(Mul_Tests[passing])</totalsRowFormula>
    </tableColumn>
    <tableColumn id="5" xr3:uid="{785B4909-13EC-4ABC-ADF8-0A6E8C364AE8}" name="test" dataDxfId="216" totalsRowDxfId="215"/>
  </tableColumns>
  <tableStyleInfo name="TableStyleMedium16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706FBB1-54D9-4F64-9481-F1D8984AE18E}" name="KnuthDiv_Tests" displayName="KnuthDiv_Tests" ref="A224:E233" totalsRowCount="1" dataDxfId="214">
  <tableColumns count="5">
    <tableColumn id="1" xr3:uid="{C9306945-CA62-4719-882E-A0FFCFC80239}" name="input" dataDxfId="213"/>
    <tableColumn id="2" xr3:uid="{FF30C91E-2B8D-47FA-B34B-6CA5257E3EB7}" name="expected" dataDxfId="212"/>
    <tableColumn id="3" xr3:uid="{3B324DA4-4AAE-408C-B627-929F7D5C7CBF}" name="output" dataDxfId="211">
      <calculatedColumnFormula array="1">_xlfn.LET(
    _xlpm.abk, _xlfn.REGEXEXTRACT(KnuthDiv_Tests[[#This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internal.xlInt.KnuthDiv(_xlpm.limbs_a, _xlpm.limbs_b, _xlpm.k),
    _xlfn.ARRAYTOTEXT(_xlpm.output, 1)
)</calculatedColumnFormula>
    </tableColumn>
    <tableColumn id="4" xr3:uid="{439AD3AD-5C90-48C6-AB74-B9DDF87C40B5}" name="passing" totalsRowFunction="custom" dataDxfId="210" totalsRowDxfId="209">
      <calculatedColumnFormula>IF(ISERROR(KnuthDiv_Tests[[#This Row],[expected]]),
    ERROR.TYPE(KnuthDiv_Tests[[#This Row],[expected]]) = ERROR.TYPE(KnuthDiv_Tests[[#This Row],[output]]),
    KnuthDiv_Tests[[#This Row],[expected]] = KnuthDiv_Tests[[#This Row],[output]]
)</calculatedColumnFormula>
      <totalsRowFormula>AND(KnuthDiv_Tests[passing])</totalsRowFormula>
    </tableColumn>
    <tableColumn id="5" xr3:uid="{7D4887A2-EC0B-4C52-8336-E300544022A1}" name="test" dataDxfId="208"/>
  </tableColumns>
  <tableStyleInfo name="TableStyleMedium16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0C6E940-EAB6-4373-8987-1B7722C2CC79}" name="Div_Tests" displayName="Div_Tests" ref="A236:E247" totalsRowCount="1" dataDxfId="207">
  <tableColumns count="5">
    <tableColumn id="1" xr3:uid="{0A49EAE4-5B09-4D2D-A863-D634A4825565}" name="input" dataDxfId="206" totalsRowDxfId="205"/>
    <tableColumn id="2" xr3:uid="{4BF042F3-E337-4B63-A1E8-414D47019404}" name="expected" dataDxfId="204" totalsRowDxfId="203"/>
    <tableColumn id="3" xr3:uid="{118ABB7A-7163-40CB-974E-69BFF6BE2BE0}" name="output" dataDxfId="202" totalsRowDxfId="201">
      <calculatedColumnFormula array="1">_xlfn.LET(
    _xlpm.ab, _xlfn.REGEXEXTRACT(Div_Tests[[#This Row],[input]], "=\s*\{?\K[\w,; .-]*", 1),
    _xlpm.a, INDEX(_xlpm.ab,1,1),
    _xlpm.b, INDEX(_xlpm.ab,1,2),
    xlInt.Div(_xlpm.a, _xlpm.b)
)</calculatedColumnFormula>
    </tableColumn>
    <tableColumn id="4" xr3:uid="{4344C6C8-3F96-4048-96D0-CA621258C1D7}" name="passing" totalsRowFunction="custom" dataDxfId="200" totalsRowDxfId="199">
      <calculatedColumnFormula>IF(ISERROR(Div_Tests[[#This Row],[expected]]),
    ERROR.TYPE(Div_Tests[[#This Row],[expected]]) = ERROR.TYPE(Div_Tests[[#This Row],[output]]),
    Div_Tests[[#This Row],[expected]] = Div_Tests[[#This Row],[output]]
)</calculatedColumnFormula>
      <totalsRowFormula>AND(Div_Tests[passing])</totalsRowFormula>
    </tableColumn>
    <tableColumn id="5" xr3:uid="{7CF48835-D05B-4120-863E-A47318569688}" name="test" dataDxfId="198" totalsRowDxfId="197"/>
  </tableColumns>
  <tableStyleInfo name="TableStyleMedium16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3179C39-4489-4B3E-A2D2-1A2B50DC058E}" name="Mod_Tests" displayName="Mod_Tests" ref="A250:E261" totalsRowCount="1" dataDxfId="196">
  <tableColumns count="5">
    <tableColumn id="1" xr3:uid="{F1BCBD73-ACF5-4609-87F5-A9FAB549955E}" name="input" dataDxfId="195" totalsRowDxfId="194"/>
    <tableColumn id="2" xr3:uid="{E9604163-FD58-4190-8D72-28AA7831E8C8}" name="expected" dataDxfId="193" totalsRowDxfId="192"/>
    <tableColumn id="3" xr3:uid="{9D21CE79-D00B-4182-97B3-60EF6DC8B18F}" name="output" dataDxfId="191" totalsRowDxfId="190">
      <calculatedColumnFormula array="1">_xlfn.LET(
    _xlpm.ab, _xlfn.REGEXEXTRACT(Mod_Tests[[#This Row],[input]], "=\s*\{?\K[\w,; .-]*", 1),
    _xlpm.a, INDEX(_xlpm.ab,1,1),
    _xlpm.b, INDEX(_xlpm.ab,1,2),
    xlInt.Mod(_xlpm.a, _xlpm.b)
)</calculatedColumnFormula>
    </tableColumn>
    <tableColumn id="4" xr3:uid="{CEF047D2-0521-425D-99C4-E3B997A68B32}" name="passing" totalsRowFunction="custom" dataDxfId="189" totalsRowDxfId="188">
      <calculatedColumnFormula>IF(ISERROR(Mod_Tests[[#This Row],[expected]]),
    ERROR.TYPE(Mod_Tests[[#This Row],[expected]]) = ERROR.TYPE(Mod_Tests[[#This Row],[output]]),
    Mod_Tests[[#This Row],[expected]] = Mod_Tests[[#This Row],[output]]
)</calculatedColumnFormula>
      <totalsRowFormula>AND(Mod_Tests[passing])</totalsRowFormula>
    </tableColumn>
    <tableColumn id="5" xr3:uid="{BB0A3941-EEFB-445E-AE7B-833C36649910}" name="test" dataDxfId="187" totalsRowDxfId="186"/>
  </tableColumns>
  <tableStyleInfo name="TableStyleMedium16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2953E35-FA6B-4DA1-B4AC-195D4F1BB7C8}" name="DivMod_Tests" displayName="DivMod_Tests" ref="A264:E280" totalsRowCount="1" dataDxfId="185">
  <tableColumns count="5">
    <tableColumn id="1" xr3:uid="{E51BC97B-AA0D-4705-AF36-89CB4A3501FF}" name="input" dataDxfId="184" totalsRowDxfId="183"/>
    <tableColumn id="2" xr3:uid="{6D6483DD-139D-4DFE-BFEA-8BAA3E5C6FCF}" name="expected" dataDxfId="182" totalsRowDxfId="181"/>
    <tableColumn id="3" xr3:uid="{17DE90BB-4525-4C2D-9577-C4372DCD74B3}" name="output" dataDxfId="180" totalsRowDxfId="179">
      <calculatedColumnFormula>_xlfn.LET(
    _xlpm.ab_flag, _xlfn.REGEXEXTRACT(DivMod_Tests[[#This Row],[input]], "=\s*\{?\K[\w,; .-]*", 1),
    _xlpm.a, INDEX(_xlpm.ab_flag,1,1),
    _xlpm.b, INDEX(_xlpm.ab_flag,1,2),
    _xlpm.use_floor, INDEX(_xlpm.ab_flag,1,3),
    _xlfn.ARRAYTOTEXT(xlInt.DivMod(_xlpm.a, _xlpm.b, _xlpm.use_floor), 1)
)</calculatedColumnFormula>
    </tableColumn>
    <tableColumn id="4" xr3:uid="{08745616-1601-437B-82EA-C1952393A99B}" name="passing" totalsRowFunction="custom" dataDxfId="178" totalsRowDxfId="177">
      <calculatedColumnFormula>IF(ISERROR(DivMod_Tests[[#This Row],[expected]]),
    ERROR.TYPE(DivMod_Tests[[#This Row],[expected]]) = ERROR.TYPE(DivMod_Tests[[#This Row],[output]]),
    DivMod_Tests[[#This Row],[expected]] = DivMod_Tests[[#This Row],[output]]
)</calculatedColumnFormula>
      <totalsRowFormula>AND(DivMod_Tests[passing])</totalsRowFormula>
    </tableColumn>
    <tableColumn id="5" xr3:uid="{10C8AB14-1CD9-4B06-8A65-2B27B32A2550}" name="test" dataDxfId="176" totalsRowDxfId="175"/>
  </tableColumns>
  <tableStyleInfo name="TableStyleMedium16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400C680-561E-4111-B80A-CA24DB597E3F}" name="Table25" displayName="Table25" ref="A283:E289" totalsRowCount="1" dataDxfId="174">
  <tableColumns count="5">
    <tableColumn id="1" xr3:uid="{37EA378F-E179-45E1-BF1A-FBA82C305DBA}" name="input" dataDxfId="173"/>
    <tableColumn id="2" xr3:uid="{11DFB020-1D5E-4E26-A86F-6B73428F3709}" name="expected" dataDxfId="172"/>
    <tableColumn id="3" xr3:uid="{943FD3EB-6145-4BEE-9408-F68BE0795A47}" name="output" dataDxfId="171">
      <calculatedColumnFormula array="1">_xlfn.LET(
    _xlpm.bk, _xlfn.REGEXEXTRACT(Table25[[#This Row],[input]], "=\s*\{?\K[\w,; .-]*", 1),
    _xlpm.b, INDEX(_xlpm.bk,1,1),
    _xlpm.k, --INDEX(_xlpm.bk,1,2),
    _xlpm.limbs_b, --_xlfn.TEXTSPLIT(_xlpm.b,",",";"),
    _xlpm.output, internal.xlInt.NewtonRaphsonSeed(_xlpm.limbs_b, _xlpm.k),
    _xlfn.ARRAYTOTEXT(_xlpm.output, 1)
)</calculatedColumnFormula>
    </tableColumn>
    <tableColumn id="4" xr3:uid="{165ECACC-11AD-4EB0-AE14-7D528DA64799}" name="passing" totalsRowFunction="custom" dataDxfId="170" totalsRowDxfId="169">
      <calculatedColumnFormula>IF(ISERROR(Table25[[#This Row],[expected]]),
    ERROR.TYPE(Table25[[#This Row],[expected]]) = ERROR.TYPE(Table25[[#This Row],[output]]),
    Table25[[#This Row],[expected]] = Table25[[#This Row],[output]]
)</calculatedColumnFormula>
      <totalsRowFormula>AND(Table25[passing])</totalsRowFormula>
    </tableColumn>
    <tableColumn id="5" xr3:uid="{6FA8F2E3-9F29-41C5-8B60-45E4EF5BFD33}" name="test" dataDxfId="168"/>
  </tableColumns>
  <tableStyleInfo name="TableStyleMedium16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2A27437-8E10-4142-9D59-10A781936664}" name="IsEven_Tests" displayName="IsEven_Tests" ref="A292:E301" totalsRowCount="1" tableBorderDxfId="167">
  <tableColumns count="5">
    <tableColumn id="1" xr3:uid="{72B34F2A-D724-472B-AEA6-85847044F8BB}" name="input"/>
    <tableColumn id="2" xr3:uid="{8F1A9828-E68A-40FE-8534-E28D2B59C43A}" name="expected"/>
    <tableColumn id="3" xr3:uid="{90993922-EF49-4320-BFDE-A85AAC37995B}" name="output" dataDxfId="166">
      <calculatedColumnFormula array="1">BigInt.IsEven(IsEven_Tests[[#This Row],[input]])</calculatedColumnFormula>
    </tableColumn>
    <tableColumn id="4" xr3:uid="{4CD10349-78F4-4A08-8AD3-6AFDD4218B3F}" name="passing" totalsRowFunction="custom" dataDxfId="165">
      <calculatedColumnFormula>IF(ISERROR(IsEven_Tests[[#This Row],[expected]]),
    ERROR.TYPE(IsEven_Tests[[#This Row],[expected]]) = ERROR.TYPE(IsEven_Tests[[#This Row],[output]]),
    IsEven_Tests[[#This Row],[expected]] = IsEven_Tests[[#This Row],[output]]
)</calculatedColumnFormula>
      <totalsRowFormula>AND(IsEven_Tests[passing])</totalsRowFormula>
    </tableColumn>
    <tableColumn id="5" xr3:uid="{9C811914-2121-4942-94F0-B4760C307266}" name="test" dataDxfId="164"/>
  </tableColumns>
  <tableStyleInfo name="TableStyleMedium16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29B30C5B-F766-4073-878A-FEDF3C607366}" name="IsOdd_Tests" displayName="IsOdd_Tests" ref="A304:E313" totalsRowCount="1" tableBorderDxfId="163">
  <tableColumns count="5">
    <tableColumn id="1" xr3:uid="{8D247229-1BE2-49B1-BEC8-19AFBBF671FC}" name="input"/>
    <tableColumn id="2" xr3:uid="{9F1FC5CC-11FA-4EB1-BA6E-3C18F4379652}" name="expected"/>
    <tableColumn id="3" xr3:uid="{6B07B988-F191-4E41-81FA-8D0020D0AEF2}" name="output" dataDxfId="162">
      <calculatedColumnFormula array="1">BigInt.IsOdd(IsOdd_Tests[[#This Row],[input]])</calculatedColumnFormula>
    </tableColumn>
    <tableColumn id="4" xr3:uid="{15820A65-99F4-420C-A89B-1F6FB8202BCC}" name="passing" totalsRowFunction="custom" dataDxfId="161">
      <calculatedColumnFormula>IF(ISERROR(IsOdd_Tests[[#This Row],[expected]]),
    ERROR.TYPE(IsOdd_Tests[[#This Row],[expected]]) = ERROR.TYPE(IsOdd_Tests[[#This Row],[output]]),
    IsOdd_Tests[[#This Row],[expected]] = IsOdd_Tests[[#This Row],[output]]
)</calculatedColumnFormula>
      <totalsRowFormula>AND(IsOdd_Tests[passing])</totalsRowFormula>
    </tableColumn>
    <tableColumn id="5" xr3:uid="{60D794CC-2FBF-4E93-9A30-99426CA9AD8A}" name="test"/>
  </tableColumns>
  <tableStyleInfo name="TableStyleMedium16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71705AE-DD2A-4348-9D77-10A58AFED934}" name="Pow_Tests" displayName="Pow_Tests" ref="A327:E341" totalsRowCount="1" dataDxfId="160">
  <tableColumns count="5">
    <tableColumn id="1" xr3:uid="{428DC074-F3C2-4541-81E6-FDDAE2482D27}" name="input" dataDxfId="159"/>
    <tableColumn id="2" xr3:uid="{B5FD2A40-BCC5-4580-B8CD-768791024AC5}" name="expected" dataDxfId="158"/>
    <tableColumn id="3" xr3:uid="{F4E39208-EEA5-4CF3-B04A-4707F3E1FB8E}" name="output" dataDxfId="157">
      <calculatedColumnFormula array="1">_xlfn.LET(
    _xlpm.ab, _xlfn.REGEXEXTRACT(Pow_Tests[[#This Row],[input]], "=\s*\{?\K[\w,; .-]*", 1),
    _xlpm.a, INDEX(_xlpm.ab, 1, 1),
    _xlpm.b, INDEX(_xlpm.ab, 1, 2),
    BigInt.Pow(_xlpm.a, _xlpm.b)
)</calculatedColumnFormula>
    </tableColumn>
    <tableColumn id="4" xr3:uid="{B407AC33-1B59-4CB2-91F2-8CA96B7CE117}" name="passing" totalsRowFunction="custom" dataDxfId="156">
      <calculatedColumnFormula>IF(ISERROR(Pow_Tests[[#This Row],[expected]]),
    ERROR.TYPE(Pow_Tests[[#This Row],[expected]]) = ERROR.TYPE(Pow_Tests[[#This Row],[output]]),
    Pow_Tests[[#This Row],[expected]] = Pow_Tests[[#This Row],[output]]
)</calculatedColumnFormula>
      <totalsRowFormula>AND(Pow_Tests[passing])</totalsRowFormula>
    </tableColumn>
    <tableColumn id="5" xr3:uid="{A1A7E0C2-F1B0-41A5-A740-EDF94ACD6051}" name="test" dataDxfId="155"/>
  </tableColumns>
  <tableStyleInfo name="TableStyleMedium16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3160072-B1B0-4FD1-88FC-006B8639CBE0}" name="UPow_Tests" displayName="UPow_Tests" ref="A316:E324" totalsRowCount="1" dataDxfId="154">
  <tableColumns count="5">
    <tableColumn id="1" xr3:uid="{20145995-7ED4-4B73-887D-9D74DA0828CF}" name="input" dataDxfId="153"/>
    <tableColumn id="2" xr3:uid="{82FBC2F1-B0A2-4D85-8D2F-0E9C3548EF52}" name="expected" dataDxfId="152"/>
    <tableColumn id="3" xr3:uid="{30FC05F3-7A85-4F3C-B4CB-146B4FEBD37A}" name="output" dataDxfId="151">
      <calculatedColumnFormula array="1">_xlfn.LET(
    _xlpm.bek, _xlfn.REGEXEXTRACT(UPow_Tests[[#This Row],[input]], "=\s*\{?\K[\w,; .-]*", 1),
    _xlpm.base, INDEX(_xlpm.bek,1,1),
    _xlpm.exp, INDEX(_xlpm.bek,1,2),
    _xlpm.k, --INDEX(_xlpm.bek,1,3),
    _xlpm.limbs_base, --_xlfn.TEXTSPLIT(_xlpm.base,",",";"),
    _xlpm.output, core_BigInt.UPow(_xlpm.limbs_base, _xlpm.exp, _xlpm.k),
    _xlfn.ARRAYTOTEXT(_xlpm.output, 1)
)</calculatedColumnFormula>
    </tableColumn>
    <tableColumn id="4" xr3:uid="{13DDE135-8BB6-470E-A96F-6482CA5075E2}" name="passing" totalsRowFunction="custom" dataDxfId="150">
      <calculatedColumnFormula>IF(ISERROR(UPow_Tests[[#This Row],[expected]]),
    ERROR.TYPE(UPow_Tests[[#This Row],[expected]]) = ERROR.TYPE(UPow_Tests[[#This Row],[output]]),
    UPow_Tests[[#This Row],[expected]] = UPow_Tests[[#This Row],[output]]
)</calculatedColumnFormula>
      <totalsRowFormula>AND(UPow_Tests[passing])</totalsRowFormula>
    </tableColumn>
    <tableColumn id="5" xr3:uid="{45AF5A50-06F2-4581-B704-1F7379E7EFDB}" name="test" dataDxfId="149"/>
  </tableColumns>
  <tableStyleInfo name="TableStyleMedium16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6E07932-566C-4BD6-8077-730BDDB685D7}" name="USqrt_Tests" displayName="USqrt_Tests" ref="A344:E348" totalsRowCount="1" dataDxfId="148">
  <tableColumns count="5">
    <tableColumn id="1" xr3:uid="{7D0B28FD-9EB7-4A3D-892B-9C8FB4B3B2F5}" name="input" dataDxfId="147"/>
    <tableColumn id="2" xr3:uid="{CFF29D88-DF87-4564-930E-26EAF1CB3332}" name="expected" dataDxfId="146"/>
    <tableColumn id="3" xr3:uid="{4738BA38-2D1B-4B90-8625-6A923FAABAE8}" name="output" dataDxfId="145">
      <calculatedColumnFormula array="1">_xlfn.LET(
    _xlpm.radicand_seed_k, _xlfn.REGEXEXTRACT(USqrt_Tests[[#This Row],[input]], "=\s*\{?\K[\w,; .-]*", 1),
    _xlpm.radicand, INDEX(_xlpm.radicand_seed_k,1,1),
    _xlpm.seed, INDEX(_xlpm.radicand_seed_k,1,2),
    _xlpm.k, --INDEX(_xlpm.radicand_seed_k,1,3),
    _xlpm.limbs_radicand, --_xlfn.TEXTSPLIT(_xlpm.radicand,",",";"),
    _xlpm.limbs_seed, --_xlfn.TEXTSPLIT(_xlpm.seed,",",";"),
    _xlpm.output, core_BigInt.USqrt(_xlpm.limbs_radicand, _xlpm.limbs_seed, _xlpm.k),
    _xlfn.ARRAYTOTEXT(_xlpm.output, 1)
)</calculatedColumnFormula>
    </tableColumn>
    <tableColumn id="4" xr3:uid="{118D95C4-A916-4992-AEA0-6F30E3EE33F9}" name="passing" totalsRowFunction="custom" dataDxfId="144" totalsRowDxfId="143">
      <calculatedColumnFormula>IF(ISERROR(USqrt_Tests[[#This Row],[expected]]),
    ERROR.TYPE(USqrt_Tests[[#This Row],[expected]]) = ERROR.TYPE(USqrt_Tests[[#This Row],[output]]),
    USqrt_Tests[[#This Row],[expected]] = USqrt_Tests[[#This Row],[output]]
)</calculatedColumnFormula>
      <totalsRowFormula>AND(USqrt_Tests[passing])</totalsRowFormula>
    </tableColumn>
    <tableColumn id="5" xr3:uid="{36AF6E6D-247D-40D4-8B02-20DF4A48BDF2}" name="test" dataDxfId="142"/>
  </tableColumns>
  <tableStyleInfo name="TableStyleMedium16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9B2C3B0-D156-4BA1-8DBC-CCD97E178DEB}" name="NewtonRaphsonReciprocal_Tests" displayName="NewtonRaphsonReciprocal_Tests" ref="A351:E356" totalsRowCount="1" dataDxfId="141">
  <tableColumns count="5">
    <tableColumn id="1" xr3:uid="{668CC6CC-FAA8-4201-AF7C-80B23CDDC2E9}" name="input" dataDxfId="140"/>
    <tableColumn id="2" xr3:uid="{25DCB2CE-672E-4637-9E18-5B6DB9547223}" name="expected" dataDxfId="139"/>
    <tableColumn id="3" xr3:uid="{90B5F5EA-1862-438B-A0B0-E7B33D47B422}" name="output" dataDxfId="138">
      <calculatedColumnFormula array="1">_xlfn.LET(
    _xlpm.b_len_k, _xlfn.REGEXEXTRACT(NewtonRaphsonReciprocal_Tests[[#This Row],[input]], "=\s*\{?\K[\w,; .-]*", 1),
    _xlpm.b, INDEX(_xlpm.b_len_k,1,1),
    _xlpm.target_len, INDEX(_xlpm.b_len_k,1,2),
    _xlpm.k, --INDEX(_xlpm.b_len_k,1,3),
    _xlpm.limbs_b, --_xlfn.TEXTSPLIT(_xlpm.b,",",";"),
    _xlpm.output, core_BigInt.NewtonRaphsonReciprocal(_xlpm.limbs_b, _xlpm.target_len, _xlpm.k),
    _xlfn.ARRAYTOTEXT(_xlpm.output, 1)
)</calculatedColumnFormula>
    </tableColumn>
    <tableColumn id="4" xr3:uid="{A229F032-C11B-467F-A66D-15E5E90AC98D}" name="passing" totalsRowFunction="custom" dataDxfId="137" totalsRowDxfId="136">
      <calculatedColumnFormula>IF(ISERROR(NewtonRaphsonReciprocal_Tests[[#This Row],[expected]]),
    ERROR.TYPE(NewtonRaphsonReciprocal_Tests[[#This Row],[expected]]) = ERROR.TYPE(NewtonRaphsonReciprocal_Tests[[#This Row],[output]]),
    NewtonRaphsonReciprocal_Tests[[#This Row],[expected]] = NewtonRaphsonReciprocal_Tests[[#This Row],[output]]
)</calculatedColumnFormula>
      <totalsRowFormula>AND(NewtonRaphsonReciprocal_Tests[passing])</totalsRowFormula>
    </tableColumn>
    <tableColumn id="5" xr3:uid="{F159BE0D-B6F5-4516-9322-421576A9CFAC}" name="test" dataDxfId="135"/>
  </tableColumns>
  <tableStyleInfo name="TableStyleMedium16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9E5B9787-3CCB-4F73-B127-FE62EEB658A9}" name="NewtonRaphsonDiv_Tests" displayName="NewtonRaphsonDiv_Tests" ref="A359:E365" totalsRowCount="1" dataDxfId="134">
  <tableColumns count="5">
    <tableColumn id="1" xr3:uid="{1DD49B57-7E7E-4B1C-B300-6AC09AA4507D}" name="input" dataDxfId="133"/>
    <tableColumn id="2" xr3:uid="{F726FD71-2E54-4ACE-8BDB-45E8C22B8958}" name="expected" dataDxfId="132"/>
    <tableColumn id="3" xr3:uid="{51451E9D-81A3-4433-AABC-FCAE4ED0B82C}" name="output" dataDxfId="131">
      <calculatedColumnFormula array="1">_xlfn.LET(
    _xlpm.abk, _xlfn.REGEXEXTRACT(NewtonRaphsonDiv_Tests[[#This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core_BigInt.NewtonRaphsonDiv(_xlpm.limbs_a, _xlpm.limbs_b, _xlpm.k),
    _xlfn.ARRAYTOTEXT(_xlpm.output, 1)
)</calculatedColumnFormula>
    </tableColumn>
    <tableColumn id="4" xr3:uid="{3511251B-5389-4721-A1A1-8AE06E90F9D7}" name="passing" totalsRowFunction="custom" dataDxfId="130" totalsRowDxfId="129">
      <calculatedColumnFormula>IF(ISERROR(NewtonRaphsonDiv_Tests[[#This Row],[expected]]),
    ERROR.TYPE(NewtonRaphsonDiv_Tests[[#This Row],[expected]]) = ERROR.TYPE(NewtonRaphsonDiv_Tests[[#This Row],[output]]),
    NewtonRaphsonDiv_Tests[[#This Row],[expected]] = NewtonRaphsonDiv_Tests[[#This Row],[output]]
)</calculatedColumnFormula>
      <totalsRowFormula>AND(NewtonRaphsonDiv_Tests[passing])</totalsRowFormula>
    </tableColumn>
    <tableColumn id="5" xr3:uid="{8FBD496E-700B-47C8-B9CA-AD0871776B53}" name="test" dataDxfId="128"/>
  </tableColumns>
  <tableStyleInfo name="TableStyleMedium16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27C0A819-84B9-4A0A-8097-03A8C95F5E27}" name="NativePrimes_Tests" displayName="NativePrimes_Tests" ref="A368:E374" totalsRowCount="1" dataDxfId="127" tableBorderDxfId="126">
  <tableColumns count="5">
    <tableColumn id="1" xr3:uid="{F29CD078-1065-436A-811B-D67567316769}" name="input" dataDxfId="125"/>
    <tableColumn id="2" xr3:uid="{6122EAC1-506A-441B-8004-4B02E143A802}" name="expected" dataDxfId="124"/>
    <tableColumn id="3" xr3:uid="{778AEC62-886A-4A2A-BD39-EB9F715A732B}" name="output" dataDxfId="123">
      <calculatedColumnFormula>_xlfn.ARRAYTOTEXT(core_BigInt.NativePrimes(NativePrimes_Tests[[#This Row],[input]]), 1)</calculatedColumnFormula>
    </tableColumn>
    <tableColumn id="4" xr3:uid="{F3546CB4-2246-45FB-B499-CB4B13BA76E1}" name="passing" totalsRowFunction="custom" dataDxfId="122">
      <calculatedColumnFormula>IF(ISERROR(NativePrimes_Tests[[#This Row],[expected]]),
    ERROR.TYPE(NativePrimes_Tests[[#This Row],[expected]]) = ERROR.TYPE(NativePrimes_Tests[[#This Row],[output]]),
    NativePrimes_Tests[[#This Row],[expected]] = NativePrimes_Tests[[#This Row],[output]]
)</calculatedColumnFormula>
      <totalsRowFormula>AND(NativePrimes_Tests[passing])</totalsRowFormula>
    </tableColumn>
    <tableColumn id="5" xr3:uid="{8190D20C-0392-4F85-929A-69F9BDF57A0A}" name="test" dataDxfId="121"/>
  </tableColumns>
  <tableStyleInfo name="TableStyleMedium16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49BD0AFE-381A-4E2F-A35C-4D1CCCA7584E}" name="TextTreeProd_Tests37" displayName="TextTreeProd_Tests37" ref="A386:E391" totalsRowCount="1" dataDxfId="120">
  <tableColumns count="5">
    <tableColumn id="1" xr3:uid="{998EF311-8CF0-4498-BF3E-C7591D617740}" name="input" dataDxfId="119"/>
    <tableColumn id="2" xr3:uid="{030D33E6-C011-4057-AFBE-F1FEC05B0E3D}" name="expected" dataDxfId="118"/>
    <tableColumn id="3" xr3:uid="{4A32034C-1A35-45CF-A8F5-5BB1FB3300A5}" name="output" dataDxfId="117">
      <calculatedColumnFormula array="1">_xlfn.LET(
    _xlpm.big_ints, _xlfn.REGEXEXTRACT(TextTreeProd_Tests37[[#This Row],[input]], "{\K[\w,; .-]*"),
    _xlpm.big_int_arr, _xlfn.TEXTSPLIT(_xlpm.big_ints,",",";"),
    core_BigInt.TextTreeProd(_xlpm.big_int_arr)
)</calculatedColumnFormula>
    </tableColumn>
    <tableColumn id="4" xr3:uid="{F4493AC7-8D4A-4E9D-A9A4-52B87367C964}" name="passing" totalsRowFunction="custom" dataDxfId="116" totalsRowDxfId="115">
      <calculatedColumnFormula>IF(ISERROR(TextTreeProd_Tests37[[#This Row],[expected]]),
    ERROR.TYPE(TextTreeProd_Tests37[[#This Row],[expected]]) = ERROR.TYPE(TextTreeProd_Tests37[[#This Row],[output]]),
    TextTreeProd_Tests37[[#This Row],[expected]] = TextTreeProd_Tests37[[#This Row],[output]]
)</calculatedColumnFormula>
      <totalsRowFormula>AND(TextTreeProd_Tests37[passing])</totalsRowFormula>
    </tableColumn>
    <tableColumn id="5" xr3:uid="{9E2E183E-0AFC-4266-8D1C-760BDBA95E9A}" name="test" dataDxfId="114"/>
  </tableColumns>
  <tableStyleInfo name="TableStyleMedium16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BA5BDEF-A87F-4855-AD37-C3A378790A0D}" name="UTextMul_Tests" displayName="UTextMul_Tests" ref="A377:E383" totalsRowCount="1" dataDxfId="113">
  <tableColumns count="5">
    <tableColumn id="1" xr3:uid="{3F5F3FFD-5DC8-4A88-908C-7CEE90688FD2}" name="input" dataDxfId="112" totalsRowDxfId="111"/>
    <tableColumn id="2" xr3:uid="{6AD81AC4-371F-4E12-BB01-43913712ADEC}" name="expected" dataDxfId="110" totalsRowDxfId="109"/>
    <tableColumn id="3" xr3:uid="{554D388F-417A-46F4-9FA2-AACDEAA24237}" name="output" dataDxfId="108" totalsRowDxfId="107">
      <calculatedColumnFormula array="1">_xlfn.LET(
    _xlpm.ab, _xlfn.REGEXEXTRACT(UTextMul_Tests[[#This Row],[input]], "=\s*\{?\K[\w,; .-]*", 1),
    _xlpm.a, INDEX(_xlpm.ab,1,1),
    _xlpm.b, INDEX(_xlpm.ab,1,2),
    core_BigInt.UTextMul(_xlpm.a, _xlpm.b)
)</calculatedColumnFormula>
    </tableColumn>
    <tableColumn id="4" xr3:uid="{98F15F6B-80F5-487B-9965-2D3178956C0C}" name="passing" totalsRowFunction="custom" dataDxfId="106" totalsRowDxfId="105">
      <calculatedColumnFormula>IF(ISERROR(UTextMul_Tests[[#This Row],[expected]]),
    ERROR.TYPE(UTextMul_Tests[[#This Row],[expected]]) = ERROR.TYPE(UTextMul_Tests[[#This Row],[output]]),
    UTextMul_Tests[[#This Row],[expected]] = UTextMul_Tests[[#This Row],[output]]
)</calculatedColumnFormula>
      <totalsRowFormula>AND(UTextMul_Tests[passing])</totalsRowFormula>
    </tableColumn>
    <tableColumn id="5" xr3:uid="{2218ADB1-42B3-401A-BDE3-B0DC0D6D6959}" name="test" dataDxfId="104" totalsRowDxfId="103"/>
  </tableColumns>
  <tableStyleInfo name="TableStyleMedium16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C18280EB-8AA6-4449-955D-681E77E7D1F0}" name="Fact_Tests" displayName="Fact_Tests" ref="A394:E402" totalsRowCount="1" dataDxfId="102" tableBorderDxfId="101">
  <tableColumns count="5">
    <tableColumn id="1" xr3:uid="{D95EE39E-5251-4170-8888-9530E87C134B}" name="input" dataDxfId="100"/>
    <tableColumn id="2" xr3:uid="{15AD0C64-A61C-4834-B444-C19248449496}" name="expected" dataDxfId="99"/>
    <tableColumn id="3" xr3:uid="{B1B2AF0C-A9CA-494D-9393-F9EB601C03AE}" name="output" dataDxfId="98">
      <calculatedColumnFormula array="1">BigInt.Fact(Fact_Tests[[#This Row],[input]])</calculatedColumnFormula>
    </tableColumn>
    <tableColumn id="4" xr3:uid="{67D2CAD7-A3A0-464E-A151-2D279B301872}" name="passing" totalsRowFunction="custom" dataDxfId="97">
      <calculatedColumnFormula>IF(ISERROR(Fact_Tests[[#This Row],[expected]]),
    ERROR.TYPE(Fact_Tests[[#This Row],[expected]]) = ERROR.TYPE(Fact_Tests[[#This Row],[output]]),
    Fact_Tests[[#This Row],[expected]] = Fact_Tests[[#This Row],[output]]
)</calculatedColumnFormula>
      <totalsRowFormula>AND(Fact_Tests[passing])</totalsRowFormula>
    </tableColumn>
    <tableColumn id="5" xr3:uid="{AD0FAFD6-A476-479B-A804-9F518E2EB8F4}" name="test" dataDxfId="96"/>
  </tableColumns>
  <tableStyleInfo name="TableStyleMedium16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1A442966-F97C-4CA5-BF93-28001E9F3115}" name="NativeSwingExponents_Tests" displayName="NativeSwingExponents_Tests" ref="A405:E408" totalsRowCount="1" dataDxfId="95">
  <tableColumns count="5">
    <tableColumn id="1" xr3:uid="{A9F64071-671A-4BD5-BB0B-5605FA9B2FB2}" name="input" dataDxfId="94"/>
    <tableColumn id="2" xr3:uid="{02211327-69A6-4349-A560-3AF62381C788}" name="expected" dataDxfId="93"/>
    <tableColumn id="3" xr3:uid="{89446F11-EFC2-42C7-B521-B662FB138191}" name="output" dataDxfId="92">
      <calculatedColumnFormula array="1">_xlfn.LET(
    _xlpm.n_primes, _xlfn.REGEXEXTRACT(NativeSwingExponents_Tests[[#This Row],[input]], "=\s*\{?\K[\w,; .-]*", 1),
    _xlpm.n, --INDEX(_xlpm.n_primes,1,1),
    _xlpm.primes, INDEX(_xlpm.n_primes,1,2),
    _xlpm.primes_arr, --_xlfn.TEXTSPLIT(_xlpm.primes,",",";"),
    _xlpm.output, core_BigInt.NativeSwingExponents(_xlpm.n, _xlpm.primes_arr),
    _xlfn.ARRAYTOTEXT(_xlpm.output, 1)
)</calculatedColumnFormula>
    </tableColumn>
    <tableColumn id="4" xr3:uid="{C52D135F-5CEB-4D1A-8E45-EA8B58B2B163}" name="passing" totalsRowFunction="custom" dataDxfId="91" totalsRowDxfId="90">
      <calculatedColumnFormula>IF(ISERROR(NativeSwingExponents_Tests[[#This Row],[expected]]),
    ERROR.TYPE(NativeSwingExponents_Tests[[#This Row],[expected]]) = ERROR.TYPE(NativeSwingExponents_Tests[[#This Row],[output]]),
    NativeSwingExponents_Tests[[#This Row],[expected]] = NativeSwingExponents_Tests[[#This Row],[output]]
)</calculatedColumnFormula>
      <totalsRowFormula>AND(NativeSwingExponents_Tests[passing])</totalsRowFormula>
    </tableColumn>
    <tableColumn id="5" xr3:uid="{B46E3978-1116-4B1A-913F-71B5FB4747AC}" name="test" dataDxfId="89"/>
  </tableColumns>
  <tableStyleInfo name="TableStyleMedium16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A5FEA778-9E36-4BC2-B573-658FC407B11D}" name="PrimeSwingKernel_Tests" displayName="PrimeSwingKernel_Tests" ref="A411:E414" totalsRowCount="1" dataDxfId="88">
  <tableColumns count="5">
    <tableColumn id="1" xr3:uid="{D9194B1A-7653-4C25-AD75-58E73FE195C9}" name="input" dataDxfId="87"/>
    <tableColumn id="2" xr3:uid="{AE2B8C19-C9AE-4F57-A1CB-20DBB45C5BC7}" name="expected" dataDxfId="86"/>
    <tableColumn id="3" xr3:uid="{D8958B27-2C1B-4EE7-ACB4-6D260A9AA527}" name="output" dataDxfId="85">
      <calculatedColumnFormula array="1">_xlfn.LET(
    _xlpm.n_primes, _xlfn.REGEXEXTRACT(PrimeSwingKernel_Tests[[#This Row],[input]], "=\s*\{?\K[\w,; .-]*", 1),
    _xlpm.n, --INDEX(_xlpm.n_primes,1,1),
    _xlpm.primes, INDEX(_xlpm.n_primes,1,2),
    _xlpm.primes_arr, --_xlfn.TEXTSPLIT(_xlpm.primes,",",";"),
    core_BigInt.PrimeSwingKernel(_xlpm.n, _xlpm.primes_arr)
)</calculatedColumnFormula>
    </tableColumn>
    <tableColumn id="4" xr3:uid="{3AABFC76-CC2A-401A-82D6-2360A18DBD72}" name="passing" totalsRowFunction="custom" dataDxfId="84" totalsRowDxfId="83">
      <calculatedColumnFormula>IF(ISERROR(PrimeSwingKernel_Tests[[#This Row],[expected]]),
    ERROR.TYPE(PrimeSwingKernel_Tests[[#This Row],[expected]]) = ERROR.TYPE(PrimeSwingKernel_Tests[[#This Row],[output]]),
    PrimeSwingKernel_Tests[[#This Row],[expected]] = PrimeSwingKernel_Tests[[#This Row],[output]]
)</calculatedColumnFormula>
      <totalsRowFormula>AND(PrimeSwingKernel_Tests[passing])</totalsRowFormula>
    </tableColumn>
    <tableColumn id="5" xr3:uid="{819A85D8-0038-49F4-92B3-29D2B3DA3DA7}" name="test" dataDxfId="82"/>
  </tableColumns>
  <tableStyleInfo name="TableStyleMedium16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B9017739-8F7A-45C0-8849-8DA270727275}" name="TreeCompare_Tests" displayName="TreeCompare_Tests" ref="A417:E425" totalsRowCount="1" dataDxfId="81">
  <tableColumns count="5">
    <tableColumn id="1" xr3:uid="{BDAA1AA4-B401-4C1E-B07A-E7D2C895F02A}" name="input" dataDxfId="80"/>
    <tableColumn id="2" xr3:uid="{EC652947-23C8-4457-88DD-80381C7FB3A2}" name="expected" dataDxfId="79"/>
    <tableColumn id="3" xr3:uid="{9CE537BC-E9A5-4F26-88D5-ABBB9201C75C}" name="output" dataDxfId="78">
      <calculatedColumnFormula array="1">_xlfn.LET(
    _xlpm.range_mode, _xlfn.REGEXEXTRACT(TreeCompare_Tests[[#This Row],[input]], "=\s*\{?\K[\w,; .-]*", 1),
    _xlpm.range, INDEX(_xlpm.range_mode,1,1),
    _xlpm.mode, --INDEX(_xlpm.range_mode,1,2),
    _xlpm.range_arr, _xlfn.TEXTSPLIT(_xlpm.range,",",";"),
    core_BigInt.TreeCompare(_xlpm.range_arr, _xlpm.mode)
)</calculatedColumnFormula>
    </tableColumn>
    <tableColumn id="4" xr3:uid="{998A2330-0955-43FD-AA71-94CBD47AD512}" name="passing" totalsRowFunction="custom" dataDxfId="77" totalsRowDxfId="76">
      <calculatedColumnFormula>IF(ISERROR(TreeCompare_Tests[[#This Row],[expected]]),
    ERROR.TYPE(TreeCompare_Tests[[#This Row],[expected]]) = ERROR.TYPE(TreeCompare_Tests[[#This Row],[output]]),
    TreeCompare_Tests[[#This Row],[expected]] = TreeCompare_Tests[[#This Row],[output]]
)</calculatedColumnFormula>
      <totalsRowFormula>AND(TreeCompare_Tests[passing])</totalsRowFormula>
    </tableColumn>
    <tableColumn id="5" xr3:uid="{785CE4BC-B5F9-4152-BB85-92FDF88F26FE}" name="test" dataDxfId="75"/>
  </tableColumns>
  <tableStyleInfo name="TableStyleMedium16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DF19CB3E-C2E9-4DDF-B4F3-1CD37989A54B}" name="Max_Tests" displayName="Max_Tests" ref="A428:E434" totalsRowCount="1" dataDxfId="74">
  <tableColumns count="5">
    <tableColumn id="1" xr3:uid="{70E3AE18-4391-4958-8A2F-0E14867BC728}" name="input" dataDxfId="73"/>
    <tableColumn id="2" xr3:uid="{8003646D-7F33-486B-B89C-73BC90D27E5F}" name="expected" dataDxfId="72"/>
    <tableColumn id="3" xr3:uid="{0DDD1364-1D88-485D-9D85-7DBBD316CE60}" name="output" dataDxfId="71">
      <calculatedColumnFormula array="1">_xlfn.LET(
    _xlpm.range_mode, _xlfn.REGEXEXTRACT(Max_Tests[[#This Row],[input]], "=\s*\{?\K[\w,; .-]*", 1),
    _xlpm.range, INDEX(_xlpm.range_mode,1,1),
    _xlpm.range_arr, IFERROR(_xlfn.TEXTSPLIT(_xlpm.range,",",";"),_xlpm.range),
    BigInt.Max(_xlpm.range_arr)
)</calculatedColumnFormula>
    </tableColumn>
    <tableColumn id="4" xr3:uid="{93AA2604-CFEC-494D-8458-265B34FBDD48}" name="passing" totalsRowFunction="custom" dataDxfId="70" totalsRowDxfId="69">
      <calculatedColumnFormula>IF(ISERROR(Max_Tests[[#This Row],[expected]]),
    ERROR.TYPE(Max_Tests[[#This Row],[expected]]) = ERROR.TYPE(Max_Tests[[#This Row],[output]]),
    Max_Tests[[#This Row],[expected]] = Max_Tests[[#This Row],[output]]
)</calculatedColumnFormula>
      <totalsRowFormula>AND(Max_Tests[passing])</totalsRowFormula>
    </tableColumn>
    <tableColumn id="5" xr3:uid="{7BB76139-B909-48EB-BBE4-1B5FAEDF08FF}" name="test" dataDxfId="68"/>
  </tableColumns>
  <tableStyleInfo name="TableStyleMedium16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96C2916B-F8E5-4BCB-878F-6E93D4C2588B}" name="Min_Tests" displayName="Min_Tests" ref="A436:E442" totalsRowCount="1" dataDxfId="67">
  <tableColumns count="5">
    <tableColumn id="1" xr3:uid="{7CB0024C-89AB-4AF4-B981-D0D9DC861640}" name="input" dataDxfId="66"/>
    <tableColumn id="2" xr3:uid="{6E7270F8-57D3-4993-A767-C9138198E9D0}" name="expected" dataDxfId="65"/>
    <tableColumn id="3" xr3:uid="{B2BFCE87-E91A-4BF5-91C3-2864C634D5AD}" name="output" dataDxfId="64">
      <calculatedColumnFormula array="1">_xlfn.LET(
    _xlpm.range_mode, _xlfn.REGEXEXTRACT(Min_Tests[[#This Row],[input]], "=\s*\{?\K[\w,; .-]*", 1),
    _xlpm.range, INDEX(_xlpm.range_mode,1,1),
    _xlpm.range_arr, IFERROR(_xlfn.TEXTSPLIT(_xlpm.range,",",";"),_xlpm.range),
    BigInt.Min(_xlpm.range_arr)
)</calculatedColumnFormula>
    </tableColumn>
    <tableColumn id="4" xr3:uid="{119495E5-A70B-4977-B718-87E0A3787A9E}" name="passing" totalsRowFunction="custom" dataDxfId="63" totalsRowDxfId="62">
      <calculatedColumnFormula>IF(ISERROR(Min_Tests[[#This Row],[expected]]),
    ERROR.TYPE(Min_Tests[[#This Row],[expected]]) = ERROR.TYPE(Min_Tests[[#This Row],[output]]),
    Min_Tests[[#This Row],[expected]] = Min_Tests[[#This Row],[output]]
)</calculatedColumnFormula>
      <totalsRowFormula>AND(Min_Tests[passing])</totalsRowFormula>
    </tableColumn>
    <tableColumn id="5" xr3:uid="{D2764F64-B563-420B-8C69-F976F65330B5}" name="test" dataDxfId="61"/>
  </tableColumns>
  <tableStyleInfo name="TableStyleMedium16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1458AB7-3AD7-44E9-B064-C2BEC4A41762}" name="Data" displayName="Data" ref="A1:B8" totalsRowShown="0">
  <autoFilter ref="A1:B8" xr:uid="{C1458AB7-3AD7-44E9-B064-C2BEC4A41762}"/>
  <tableColumns count="2">
    <tableColumn id="1" xr3:uid="{9A8BD9FA-DF38-4A2D-A72E-A480C042A429}" name="name"/>
    <tableColumn id="2" xr3:uid="{5167F18E-1410-43BB-8E2F-ED5CAD279C57}" name="valu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659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3631823-098F-458F-A407-A49201B3288A}">
  <we:reference id="wa200003696" version="1.3.0.0" store="en-US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BB01276C-9279-4904-9DED-1DD81807606E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26" Type="http://schemas.openxmlformats.org/officeDocument/2006/relationships/table" Target="../tables/table25.xml"/><Relationship Id="rId39" Type="http://schemas.openxmlformats.org/officeDocument/2006/relationships/table" Target="../tables/table38.xml"/><Relationship Id="rId21" Type="http://schemas.openxmlformats.org/officeDocument/2006/relationships/table" Target="../tables/table20.xml"/><Relationship Id="rId34" Type="http://schemas.openxmlformats.org/officeDocument/2006/relationships/table" Target="../tables/table33.xml"/><Relationship Id="rId42" Type="http://schemas.openxmlformats.org/officeDocument/2006/relationships/table" Target="../tables/table41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29" Type="http://schemas.openxmlformats.org/officeDocument/2006/relationships/table" Target="../tables/table28.xml"/><Relationship Id="rId41" Type="http://schemas.openxmlformats.org/officeDocument/2006/relationships/table" Target="../tables/table40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24" Type="http://schemas.openxmlformats.org/officeDocument/2006/relationships/table" Target="../tables/table23.xml"/><Relationship Id="rId32" Type="http://schemas.openxmlformats.org/officeDocument/2006/relationships/table" Target="../tables/table31.xml"/><Relationship Id="rId37" Type="http://schemas.openxmlformats.org/officeDocument/2006/relationships/table" Target="../tables/table36.xml"/><Relationship Id="rId40" Type="http://schemas.openxmlformats.org/officeDocument/2006/relationships/table" Target="../tables/table39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28" Type="http://schemas.openxmlformats.org/officeDocument/2006/relationships/table" Target="../tables/table27.xml"/><Relationship Id="rId36" Type="http://schemas.openxmlformats.org/officeDocument/2006/relationships/table" Target="../tables/table35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31" Type="http://schemas.openxmlformats.org/officeDocument/2006/relationships/table" Target="../tables/table30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Relationship Id="rId27" Type="http://schemas.openxmlformats.org/officeDocument/2006/relationships/table" Target="../tables/table26.xml"/><Relationship Id="rId30" Type="http://schemas.openxmlformats.org/officeDocument/2006/relationships/table" Target="../tables/table29.xml"/><Relationship Id="rId35" Type="http://schemas.openxmlformats.org/officeDocument/2006/relationships/table" Target="../tables/table34.xml"/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5" Type="http://schemas.openxmlformats.org/officeDocument/2006/relationships/table" Target="../tables/table24.xml"/><Relationship Id="rId33" Type="http://schemas.openxmlformats.org/officeDocument/2006/relationships/table" Target="../tables/table32.xml"/><Relationship Id="rId38" Type="http://schemas.openxmlformats.org/officeDocument/2006/relationships/table" Target="../tables/table37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D1BF5-F75F-465D-AC38-22DFE6D4806A}">
  <dimension ref="A1:E469"/>
  <sheetViews>
    <sheetView tabSelected="1" zoomScaleNormal="100" workbookViewId="0">
      <selection activeCell="J350" sqref="J350"/>
    </sheetView>
  </sheetViews>
  <sheetFormatPr defaultRowHeight="14.5" outlineLevelRow="1"/>
  <cols>
    <col min="1" max="1" width="27.54296875" customWidth="1"/>
    <col min="2" max="2" width="26.6328125" customWidth="1"/>
    <col min="3" max="3" width="24.6328125" customWidth="1"/>
    <col min="4" max="4" width="9" customWidth="1"/>
    <col min="5" max="5" width="66.453125" bestFit="1" customWidth="1"/>
    <col min="13" max="13" width="3.81640625" bestFit="1" customWidth="1"/>
    <col min="14" max="14" width="11.08984375" bestFit="1" customWidth="1"/>
    <col min="15" max="15" width="8.26953125" bestFit="1" customWidth="1"/>
  </cols>
  <sheetData>
    <row r="1" spans="1:5" ht="19" thickBot="1">
      <c r="A1" s="13" t="s">
        <v>138</v>
      </c>
      <c r="B1" s="1"/>
      <c r="C1" s="1"/>
      <c r="D1" s="1"/>
      <c r="E1" s="1"/>
    </row>
    <row r="2" spans="1:5">
      <c r="A2" s="4" t="s">
        <v>139</v>
      </c>
      <c r="B2">
        <f>COUNTIF(_xlfn._TRO_TRAILING(A:A), "input")</f>
        <v>41</v>
      </c>
    </row>
    <row r="3" spans="1:5">
      <c r="A3" s="4" t="s">
        <v>140</v>
      </c>
      <c r="B3" cm="1">
        <f t="array" aca="1" ref="B3" ca="1">SUM(--ISNUMBER(SEARCH("[@expected] = [@output]", _xlfn.FORMULATEXT(_xlfn._TRO_TRAILING(D:D)))))</f>
        <v>275</v>
      </c>
    </row>
    <row r="4" spans="1:5">
      <c r="A4" s="4" t="s">
        <v>398</v>
      </c>
      <c r="B4" cm="1">
        <f t="array" aca="1" ref="B4" ca="1">SUM(ISNUMBER(SEARCH("[@expected] = [@output]", _xlfn.FORMULATEXT(_xlfn._TRO_TRAILING(D:D)))) * (_xlfn._TRO_TRAILING(D:D) = TRUE))</f>
        <v>275</v>
      </c>
    </row>
    <row r="5" spans="1:5" ht="15" thickBot="1"/>
    <row r="6" spans="1:5" ht="19" thickBot="1">
      <c r="A6" s="1" t="s">
        <v>426</v>
      </c>
      <c r="B6" s="1"/>
      <c r="C6" s="1"/>
      <c r="D6" s="1"/>
      <c r="E6" s="1"/>
    </row>
    <row r="7" spans="1:5">
      <c r="A7" t="s">
        <v>110</v>
      </c>
      <c r="B7" t="s">
        <v>35</v>
      </c>
      <c r="C7" t="s">
        <v>36</v>
      </c>
      <c r="D7" s="6" t="s">
        <v>48</v>
      </c>
      <c r="E7" t="s">
        <v>37</v>
      </c>
    </row>
    <row r="8" spans="1:5" hidden="1" outlineLevel="1">
      <c r="A8" s="2" t="s">
        <v>0</v>
      </c>
      <c r="B8" s="2" t="s">
        <v>0</v>
      </c>
      <c r="C8" t="str" cm="1">
        <f t="array" ref="C8">BigInt.Norm(Norm_Tests[[#This Row],[input]])</f>
        <v>12345</v>
      </c>
      <c r="D8" t="b">
        <f>IF(ISERROR(Norm_Tests[[#This Row],[expected]]),
    ERROR.TYPE(Norm_Tests[[#This Row],[expected]]) = ERROR.TYPE(Norm_Tests[[#This Row],[output]]),
    Norm_Tests[[#This Row],[expected]] = Norm_Tests[[#This Row],[output]]
)</f>
        <v>1</v>
      </c>
      <c r="E8" t="s">
        <v>18</v>
      </c>
    </row>
    <row r="9" spans="1:5" hidden="1" outlineLevel="1">
      <c r="A9" s="2" t="s">
        <v>1</v>
      </c>
      <c r="B9" s="2" t="s">
        <v>1</v>
      </c>
      <c r="C9" t="str" cm="1">
        <f t="array" ref="C9">BigInt.Norm(Norm_Tests[[#This Row],[input]])</f>
        <v>-12345</v>
      </c>
      <c r="D9" t="b">
        <f>IF(ISERROR(Norm_Tests[[#This Row],[expected]]),
    ERROR.TYPE(Norm_Tests[[#This Row],[expected]]) = ERROR.TYPE(Norm_Tests[[#This Row],[output]]),
    Norm_Tests[[#This Row],[expected]] = Norm_Tests[[#This Row],[output]]
)</f>
        <v>1</v>
      </c>
      <c r="E9" t="s">
        <v>19</v>
      </c>
    </row>
    <row r="10" spans="1:5" hidden="1" outlineLevel="1">
      <c r="A10" s="2" t="s">
        <v>2</v>
      </c>
      <c r="B10" s="2" t="s">
        <v>16</v>
      </c>
      <c r="C10" t="str" cm="1">
        <f t="array" ref="C10">BigInt.Norm(Norm_Tests[[#This Row],[input]])</f>
        <v>123</v>
      </c>
      <c r="D10" t="b">
        <f>IF(ISERROR(Norm_Tests[[#This Row],[expected]]),
    ERROR.TYPE(Norm_Tests[[#This Row],[expected]]) = ERROR.TYPE(Norm_Tests[[#This Row],[output]]),
    Norm_Tests[[#This Row],[expected]] = Norm_Tests[[#This Row],[output]]
)</f>
        <v>1</v>
      </c>
      <c r="E10" t="s">
        <v>20</v>
      </c>
    </row>
    <row r="11" spans="1:5" hidden="1" outlineLevel="1">
      <c r="A11" s="2" t="s">
        <v>3</v>
      </c>
      <c r="B11" s="2" t="s">
        <v>17</v>
      </c>
      <c r="C11" t="str" cm="1">
        <f t="array" ref="C11">BigInt.Norm(Norm_Tests[[#This Row],[input]])</f>
        <v>-123</v>
      </c>
      <c r="D11" t="b">
        <f>IF(ISERROR(Norm_Tests[[#This Row],[expected]]),
    ERROR.TYPE(Norm_Tests[[#This Row],[expected]]) = ERROR.TYPE(Norm_Tests[[#This Row],[output]]),
    Norm_Tests[[#This Row],[expected]] = Norm_Tests[[#This Row],[output]]
)</f>
        <v>1</v>
      </c>
      <c r="E11" t="s">
        <v>21</v>
      </c>
    </row>
    <row r="12" spans="1:5" hidden="1" outlineLevel="1">
      <c r="A12" s="2" t="s">
        <v>4</v>
      </c>
      <c r="B12" s="2" t="s">
        <v>4</v>
      </c>
      <c r="C12" t="str" cm="1">
        <f t="array" ref="C12">BigInt.Norm(Norm_Tests[[#This Row],[input]])</f>
        <v>0</v>
      </c>
      <c r="D12" t="b">
        <f>IF(ISERROR(Norm_Tests[[#This Row],[expected]]),
    ERROR.TYPE(Norm_Tests[[#This Row],[expected]]) = ERROR.TYPE(Norm_Tests[[#This Row],[output]]),
    Norm_Tests[[#This Row],[expected]] = Norm_Tests[[#This Row],[output]]
)</f>
        <v>1</v>
      </c>
      <c r="E12" t="s">
        <v>22</v>
      </c>
    </row>
    <row r="13" spans="1:5" hidden="1" outlineLevel="1">
      <c r="A13" s="2" t="s">
        <v>15</v>
      </c>
      <c r="B13" s="2" t="s">
        <v>4</v>
      </c>
      <c r="C13" t="str" cm="1">
        <f t="array" ref="C13">BigInt.Norm(Norm_Tests[[#This Row],[input]])</f>
        <v>0</v>
      </c>
      <c r="D13" t="b">
        <f>IF(ISERROR(Norm_Tests[[#This Row],[expected]]),
    ERROR.TYPE(Norm_Tests[[#This Row],[expected]]) = ERROR.TYPE(Norm_Tests[[#This Row],[output]]),
    Norm_Tests[[#This Row],[expected]] = Norm_Tests[[#This Row],[output]]
)</f>
        <v>1</v>
      </c>
      <c r="E13" t="s">
        <v>23</v>
      </c>
    </row>
    <row r="14" spans="1:5" hidden="1" outlineLevel="1">
      <c r="A14" s="2" t="s">
        <v>6</v>
      </c>
      <c r="B14" s="2" t="s">
        <v>4</v>
      </c>
      <c r="C14" t="str" cm="1">
        <f t="array" ref="C14">BigInt.Norm(Norm_Tests[[#This Row],[input]])</f>
        <v>0</v>
      </c>
      <c r="D14" t="b">
        <f>IF(ISERROR(Norm_Tests[[#This Row],[expected]]),
    ERROR.TYPE(Norm_Tests[[#This Row],[expected]]) = ERROR.TYPE(Norm_Tests[[#This Row],[output]]),
    Norm_Tests[[#This Row],[expected]] = Norm_Tests[[#This Row],[output]]
)</f>
        <v>1</v>
      </c>
      <c r="E14" t="s">
        <v>24</v>
      </c>
    </row>
    <row r="15" spans="1:5" hidden="1" outlineLevel="1">
      <c r="A15" s="2" t="s">
        <v>7</v>
      </c>
      <c r="B15" s="2" t="s">
        <v>4</v>
      </c>
      <c r="C15" t="str" cm="1">
        <f t="array" ref="C15">BigInt.Norm(Norm_Tests[[#This Row],[input]])</f>
        <v>0</v>
      </c>
      <c r="D15" t="b">
        <f>IF(ISERROR(Norm_Tests[[#This Row],[expected]]),
    ERROR.TYPE(Norm_Tests[[#This Row],[expected]]) = ERROR.TYPE(Norm_Tests[[#This Row],[output]]),
    Norm_Tests[[#This Row],[expected]] = Norm_Tests[[#This Row],[output]]
)</f>
        <v>1</v>
      </c>
      <c r="E15" t="s">
        <v>25</v>
      </c>
    </row>
    <row r="16" spans="1:5" hidden="1" outlineLevel="1">
      <c r="A16" s="2" t="str">
        <f>""</f>
        <v/>
      </c>
      <c r="B16" s="2" t="s">
        <v>4</v>
      </c>
      <c r="C16" t="str" cm="1">
        <f t="array" ref="C16">BigInt.Norm(Norm_Tests[[#This Row],[input]])</f>
        <v>0</v>
      </c>
      <c r="D16" t="b">
        <f>IF(ISERROR(Norm_Tests[[#This Row],[expected]]),
    ERROR.TYPE(Norm_Tests[[#This Row],[expected]]) = ERROR.TYPE(Norm_Tests[[#This Row],[output]]),
    Norm_Tests[[#This Row],[expected]] = Norm_Tests[[#This Row],[output]]
)</f>
        <v>1</v>
      </c>
      <c r="E16" t="s">
        <v>26</v>
      </c>
    </row>
    <row r="17" spans="1:5" hidden="1" outlineLevel="1">
      <c r="B17" s="2" t="s">
        <v>4</v>
      </c>
      <c r="C17" t="str" cm="1">
        <f t="array" ref="C17">BigInt.Norm(Norm_Tests[[#This Row],[input]])</f>
        <v>0</v>
      </c>
      <c r="D17" t="b">
        <f>IF(ISERROR(Norm_Tests[[#This Row],[expected]]),
    ERROR.TYPE(Norm_Tests[[#This Row],[expected]]) = ERROR.TYPE(Norm_Tests[[#This Row],[output]]),
    Norm_Tests[[#This Row],[expected]] = Norm_Tests[[#This Row],[output]]
)</f>
        <v>1</v>
      </c>
      <c r="E17" t="s">
        <v>27</v>
      </c>
    </row>
    <row r="18" spans="1:5" hidden="1" outlineLevel="1">
      <c r="A18" s="2" t="s">
        <v>8</v>
      </c>
      <c r="B18" t="e">
        <v>#VALUE!</v>
      </c>
      <c r="C18" t="e" cm="1">
        <f t="array" ref="C18">BigInt.Norm(Norm_Tests[[#This Row],[input]])</f>
        <v>#VALUE!</v>
      </c>
      <c r="D18" t="b">
        <f>IF(ISERROR(Norm_Tests[[#This Row],[expected]]),
    ERROR.TYPE(Norm_Tests[[#This Row],[expected]]) = ERROR.TYPE(Norm_Tests[[#This Row],[output]]),
    Norm_Tests[[#This Row],[expected]] = Norm_Tests[[#This Row],[output]]
)</f>
        <v>1</v>
      </c>
      <c r="E18" t="s">
        <v>28</v>
      </c>
    </row>
    <row r="19" spans="1:5" hidden="1" outlineLevel="1">
      <c r="A19" s="2" t="s">
        <v>9</v>
      </c>
      <c r="B19" t="e">
        <v>#VALUE!</v>
      </c>
      <c r="C19" t="e" cm="1">
        <f t="array" ref="C19">BigInt.Norm(Norm_Tests[[#This Row],[input]])</f>
        <v>#VALUE!</v>
      </c>
      <c r="D19" t="b">
        <f>IF(ISERROR(Norm_Tests[[#This Row],[expected]]),
    ERROR.TYPE(Norm_Tests[[#This Row],[expected]]) = ERROR.TYPE(Norm_Tests[[#This Row],[output]]),
    Norm_Tests[[#This Row],[expected]] = Norm_Tests[[#This Row],[output]]
)</f>
        <v>1</v>
      </c>
      <c r="E19" t="s">
        <v>29</v>
      </c>
    </row>
    <row r="20" spans="1:5" hidden="1" outlineLevel="1">
      <c r="A20" s="2" t="s">
        <v>10</v>
      </c>
      <c r="B20" t="e">
        <v>#VALUE!</v>
      </c>
      <c r="C20" t="e" cm="1">
        <f t="array" ref="C20">BigInt.Norm(Norm_Tests[[#This Row],[input]])</f>
        <v>#VALUE!</v>
      </c>
      <c r="D20" t="b">
        <f>IF(ISERROR(Norm_Tests[[#This Row],[expected]]),
    ERROR.TYPE(Norm_Tests[[#This Row],[expected]]) = ERROR.TYPE(Norm_Tests[[#This Row],[output]]),
    Norm_Tests[[#This Row],[expected]] = Norm_Tests[[#This Row],[output]]
)</f>
        <v>1</v>
      </c>
      <c r="E20" t="s">
        <v>30</v>
      </c>
    </row>
    <row r="21" spans="1:5" hidden="1" outlineLevel="1">
      <c r="A21" s="3" t="s">
        <v>11</v>
      </c>
      <c r="B21" t="e">
        <v>#VALUE!</v>
      </c>
      <c r="C21" t="e" cm="1">
        <f t="array" ref="C21">BigInt.Norm(Norm_Tests[[#This Row],[input]])</f>
        <v>#VALUE!</v>
      </c>
      <c r="D21" t="b">
        <f>IF(ISERROR(Norm_Tests[[#This Row],[expected]]),
    ERROR.TYPE(Norm_Tests[[#This Row],[expected]]) = ERROR.TYPE(Norm_Tests[[#This Row],[output]]),
    Norm_Tests[[#This Row],[expected]] = Norm_Tests[[#This Row],[output]]
)</f>
        <v>1</v>
      </c>
      <c r="E21" t="s">
        <v>31</v>
      </c>
    </row>
    <row r="22" spans="1:5" hidden="1" outlineLevel="1">
      <c r="A22" t="s">
        <v>12</v>
      </c>
      <c r="B22" t="e">
        <v>#VALUE!</v>
      </c>
      <c r="C22" t="e" cm="1">
        <f t="array" ref="C22">BigInt.Norm(Norm_Tests[[#This Row],[input]])</f>
        <v>#VALUE!</v>
      </c>
      <c r="D22" t="b">
        <f>IF(ISERROR(Norm_Tests[[#This Row],[expected]]),
    ERROR.TYPE(Norm_Tests[[#This Row],[expected]]) = ERROR.TYPE(Norm_Tests[[#This Row],[output]]),
    Norm_Tests[[#This Row],[expected]] = Norm_Tests[[#This Row],[output]]
)</f>
        <v>1</v>
      </c>
      <c r="E22" t="s">
        <v>32</v>
      </c>
    </row>
    <row r="23" spans="1:5" hidden="1" outlineLevel="1">
      <c r="A23" s="2" t="s">
        <v>13</v>
      </c>
      <c r="B23" t="e">
        <v>#VALUE!</v>
      </c>
      <c r="C23" t="e" cm="1">
        <f t="array" ref="C23">BigInt.Norm(Norm_Tests[[#This Row],[input]])</f>
        <v>#VALUE!</v>
      </c>
      <c r="D23" t="b">
        <f>IF(ISERROR(Norm_Tests[[#This Row],[expected]]),
    ERROR.TYPE(Norm_Tests[[#This Row],[expected]]) = ERROR.TYPE(Norm_Tests[[#This Row],[output]]),
    Norm_Tests[[#This Row],[expected]] = Norm_Tests[[#This Row],[output]]
)</f>
        <v>1</v>
      </c>
      <c r="E23" t="s">
        <v>33</v>
      </c>
    </row>
    <row r="24" spans="1:5" hidden="1" outlineLevel="1">
      <c r="A24" s="2" t="s">
        <v>14</v>
      </c>
      <c r="B24" t="e">
        <v>#VALUE!</v>
      </c>
      <c r="C24" t="e" cm="1">
        <f t="array" ref="C24">BigInt.Norm(Norm_Tests[[#This Row],[input]])</f>
        <v>#VALUE!</v>
      </c>
      <c r="D24" t="b">
        <f>IF(ISERROR(Norm_Tests[[#This Row],[expected]]),
    ERROR.TYPE(Norm_Tests[[#This Row],[expected]]) = ERROR.TYPE(Norm_Tests[[#This Row],[output]]),
    Norm_Tests[[#This Row],[expected]] = Norm_Tests[[#This Row],[output]]
)</f>
        <v>1</v>
      </c>
      <c r="E24" t="s">
        <v>34</v>
      </c>
    </row>
    <row r="25" spans="1:5" hidden="1" outlineLevel="1">
      <c r="A25" s="2" t="s">
        <v>123</v>
      </c>
      <c r="B25" t="e">
        <v>#VALUE!</v>
      </c>
      <c r="C25" t="e" cm="1">
        <f t="array" ref="C25">BigInt.Norm(Norm_Tests[[#This Row],[input]])</f>
        <v>#VALUE!</v>
      </c>
      <c r="D25" t="b">
        <f>IF(ISERROR(Norm_Tests[[#This Row],[expected]]),
    ERROR.TYPE(Norm_Tests[[#This Row],[expected]]) = ERROR.TYPE(Norm_Tests[[#This Row],[output]]),
    Norm_Tests[[#This Row],[expected]] = Norm_Tests[[#This Row],[output]]
)</f>
        <v>1</v>
      </c>
      <c r="E25" t="s">
        <v>124</v>
      </c>
    </row>
    <row r="26" spans="1:5" collapsed="1">
      <c r="D26" t="b">
        <f>AND(Norm_Tests[passing])</f>
        <v>1</v>
      </c>
    </row>
    <row r="27" spans="1:5" ht="15" thickBot="1"/>
    <row r="28" spans="1:5" ht="19" thickBot="1">
      <c r="A28" s="1" t="s">
        <v>414</v>
      </c>
      <c r="B28" s="1"/>
      <c r="C28" s="1"/>
      <c r="D28" s="1"/>
      <c r="E28" s="1"/>
    </row>
    <row r="29" spans="1:5">
      <c r="A29" t="s">
        <v>110</v>
      </c>
      <c r="B29" t="s">
        <v>35</v>
      </c>
      <c r="C29" t="s">
        <v>36</v>
      </c>
      <c r="D29" s="6" t="s">
        <v>48</v>
      </c>
      <c r="E29" t="s">
        <v>37</v>
      </c>
    </row>
    <row r="30" spans="1:5" ht="29" hidden="1" outlineLevel="1">
      <c r="A30" s="12" t="s">
        <v>179</v>
      </c>
      <c r="B30" s="9">
        <v>14</v>
      </c>
      <c r="C30" s="9" cm="1">
        <f t="array" ref="C30">_xlfn.LET(
    _xlpm.op_items, _xlfn.REGEXEXTRACT(SafeK_Tests[[#This Row],[input]], "=\s*\{?\K[\w,; .-]*", 1),
    _xlpm.op, INDEX(_xlpm.op_items,1,1),
    _xlpm.max_items, _xlfn.NUMBERVALUE(INDEX(_xlpm.op_items,1,2)),
    _xlpm.output, core_BigInt.Split(bigint, k),
    core_BigInt.SafeK(_xlpm.op, _xlpm.max_items)
)</f>
        <v>14</v>
      </c>
      <c r="D30" s="9" t="b">
        <f>IF(ISERROR(SafeK_Tests[[#This Row],[expected]]),
    ERROR.TYPE(SafeK_Tests[[#This Row],[expected]]) = ERROR.TYPE(SafeK_Tests[[#This Row],[output]]),
    SafeK_Tests[[#This Row],[expected]] = SafeK_Tests[[#This Row],[output]]
)</f>
        <v>1</v>
      </c>
      <c r="E30" s="10" t="s">
        <v>47</v>
      </c>
    </row>
    <row r="31" spans="1:5" ht="29" hidden="1" outlineLevel="1">
      <c r="A31" s="12" t="s">
        <v>180</v>
      </c>
      <c r="B31" s="9">
        <v>14</v>
      </c>
      <c r="C31" s="9" cm="1">
        <f t="array" ref="C31">_xlfn.LET(
    _xlpm.op_items, _xlfn.REGEXEXTRACT(SafeK_Tests[[#This Row],[input]], "=\s*\{?\K[\w,; .-]*", 1),
    _xlpm.op, INDEX(_xlpm.op_items,1,1),
    _xlpm.max_items, _xlfn.NUMBERVALUE(INDEX(_xlpm.op_items,1,2)),
    _xlpm.output, core_BigInt.Split(bigint, k),
    core_BigInt.SafeK(_xlpm.op, _xlpm.max_items)
)</f>
        <v>14</v>
      </c>
      <c r="D31" s="9" t="b">
        <f>IF(ISERROR(SafeK_Tests[[#This Row],[expected]]),
    ERROR.TYPE(SafeK_Tests[[#This Row],[expected]]) = ERROR.TYPE(SafeK_Tests[[#This Row],[output]]),
    SafeK_Tests[[#This Row],[expected]] = SafeK_Tests[[#This Row],[output]]
)</f>
        <v>1</v>
      </c>
      <c r="E31" s="10" t="s">
        <v>38</v>
      </c>
    </row>
    <row r="32" spans="1:5" ht="29" hidden="1" outlineLevel="1">
      <c r="A32" s="12" t="s">
        <v>181</v>
      </c>
      <c r="B32" s="9">
        <v>11</v>
      </c>
      <c r="C32" s="9" cm="1">
        <f t="array" ref="C32">_xlfn.LET(
    _xlpm.op_items, _xlfn.REGEXEXTRACT(SafeK_Tests[[#This Row],[input]], "=\s*\{?\K[\w,; .-]*", 1),
    _xlpm.op, INDEX(_xlpm.op_items,1,1),
    _xlpm.max_items, _xlfn.NUMBERVALUE(INDEX(_xlpm.op_items,1,2)),
    _xlpm.output, core_BigInt.Split(bigint, k),
    core_BigInt.SafeK(_xlpm.op, _xlpm.max_items)
)</f>
        <v>11</v>
      </c>
      <c r="D32" s="9" t="b">
        <f>IF(ISERROR(SafeK_Tests[[#This Row],[expected]]),
    ERROR.TYPE(SafeK_Tests[[#This Row],[expected]]) = ERROR.TYPE(SafeK_Tests[[#This Row],[output]]),
    SafeK_Tests[[#This Row],[expected]] = SafeK_Tests[[#This Row],[output]]
)</f>
        <v>1</v>
      </c>
      <c r="E32" s="10" t="s">
        <v>46</v>
      </c>
    </row>
    <row r="33" spans="1:5" ht="29" hidden="1" outlineLevel="1">
      <c r="A33" s="12" t="s">
        <v>182</v>
      </c>
      <c r="B33" s="9">
        <v>7</v>
      </c>
      <c r="C33" s="9" cm="1">
        <f t="array" ref="C33">_xlfn.LET(
    _xlpm.op_items, _xlfn.REGEXEXTRACT(SafeK_Tests[[#This Row],[input]], "=\s*\{?\K[\w,; .-]*", 1),
    _xlpm.op, INDEX(_xlpm.op_items,1,1),
    _xlpm.max_items, _xlfn.NUMBERVALUE(INDEX(_xlpm.op_items,1,2)),
    _xlpm.output, core_BigInt.Split(bigint, k),
    core_BigInt.SafeK(_xlpm.op, _xlpm.max_items)
)</f>
        <v>7</v>
      </c>
      <c r="D33" s="9" t="b">
        <f>IF(ISERROR(SafeK_Tests[[#This Row],[expected]]),
    ERROR.TYPE(SafeK_Tests[[#This Row],[expected]]) = ERROR.TYPE(SafeK_Tests[[#This Row],[output]]),
    SafeK_Tests[[#This Row],[expected]] = SafeK_Tests[[#This Row],[output]]
)</f>
        <v>1</v>
      </c>
      <c r="E33" s="10" t="s">
        <v>45</v>
      </c>
    </row>
    <row r="34" spans="1:5" ht="29" hidden="1" outlineLevel="1">
      <c r="A34" s="12" t="s">
        <v>183</v>
      </c>
      <c r="B34" s="9">
        <v>6</v>
      </c>
      <c r="C34" s="9" cm="1">
        <f t="array" ref="C34">_xlfn.LET(
    _xlpm.op_items, _xlfn.REGEXEXTRACT(SafeK_Tests[[#This Row],[input]], "=\s*\{?\K[\w,; .-]*", 1),
    _xlpm.op, INDEX(_xlpm.op_items,1,1),
    _xlpm.max_items, _xlfn.NUMBERVALUE(INDEX(_xlpm.op_items,1,2)),
    _xlpm.output, core_BigInt.Split(bigint, k),
    core_BigInt.SafeK(_xlpm.op, _xlpm.max_items)
)</f>
        <v>6</v>
      </c>
      <c r="D34" s="9" t="b">
        <f>IF(ISERROR(SafeK_Tests[[#This Row],[expected]]),
    ERROR.TYPE(SafeK_Tests[[#This Row],[expected]]) = ERROR.TYPE(SafeK_Tests[[#This Row],[output]]),
    SafeK_Tests[[#This Row],[expected]] = SafeK_Tests[[#This Row],[output]]
)</f>
        <v>1</v>
      </c>
      <c r="E34" s="10" t="s">
        <v>44</v>
      </c>
    </row>
    <row r="35" spans="1:5" ht="29" hidden="1" outlineLevel="1">
      <c r="A35" s="12" t="s">
        <v>184</v>
      </c>
      <c r="B35" s="9">
        <v>5</v>
      </c>
      <c r="C35" s="9" cm="1">
        <f t="array" ref="C35">_xlfn.LET(
    _xlpm.op_items, _xlfn.REGEXEXTRACT(SafeK_Tests[[#This Row],[input]], "=\s*\{?\K[\w,; .-]*", 1),
    _xlpm.op, INDEX(_xlpm.op_items,1,1),
    _xlpm.max_items, _xlfn.NUMBERVALUE(INDEX(_xlpm.op_items,1,2)),
    _xlpm.output, core_BigInt.Split(bigint, k),
    core_BigInt.SafeK(_xlpm.op, _xlpm.max_items)
)</f>
        <v>5</v>
      </c>
      <c r="D35" s="9" t="b">
        <f>IF(ISERROR(SafeK_Tests[[#This Row],[expected]]),
    ERROR.TYPE(SafeK_Tests[[#This Row],[expected]]) = ERROR.TYPE(SafeK_Tests[[#This Row],[output]]),
    SafeK_Tests[[#This Row],[expected]] = SafeK_Tests[[#This Row],[output]]
)</f>
        <v>1</v>
      </c>
      <c r="E35" s="10" t="s">
        <v>43</v>
      </c>
    </row>
    <row r="36" spans="1:5" ht="29" hidden="1" outlineLevel="1">
      <c r="A36" s="12" t="s">
        <v>349</v>
      </c>
      <c r="B36" s="9" t="e">
        <v>#NAME?</v>
      </c>
      <c r="C36" s="9" t="e" cm="1">
        <f t="array" ref="C36">_xlfn.LET(
    _xlpm.op_items, _xlfn.REGEXEXTRACT(SafeK_Tests[[#This Row],[input]], "=\s*\{?\K[\w,; .-]*", 1),
    _xlpm.op, INDEX(_xlpm.op_items,1,1),
    _xlpm.max_items, _xlfn.NUMBERVALUE(INDEX(_xlpm.op_items,1,2)),
    _xlpm.output, core_BigInt.Split(bigint, k),
    core_BigInt.SafeK(_xlpm.op, _xlpm.max_items)
)</f>
        <v>#NAME?</v>
      </c>
      <c r="D36" s="9" t="b">
        <f>IF(ISERROR(SafeK_Tests[[#This Row],[expected]]),
    ERROR.TYPE(SafeK_Tests[[#This Row],[expected]]) = ERROR.TYPE(SafeK_Tests[[#This Row],[output]]),
    SafeK_Tests[[#This Row],[expected]] = SafeK_Tests[[#This Row],[output]]
)</f>
        <v>1</v>
      </c>
      <c r="E36" s="10" t="s">
        <v>39</v>
      </c>
    </row>
    <row r="37" spans="1:5" collapsed="1">
      <c r="D37" t="b">
        <f>AND(SafeK_Tests[passing])</f>
        <v>1</v>
      </c>
    </row>
    <row r="38" spans="1:5" ht="15" thickBot="1">
      <c r="C38" s="2"/>
    </row>
    <row r="39" spans="1:5" ht="19" thickBot="1">
      <c r="A39" s="1" t="s">
        <v>415</v>
      </c>
      <c r="B39" s="1"/>
      <c r="C39" s="1"/>
      <c r="D39" s="1"/>
      <c r="E39" s="1"/>
    </row>
    <row r="40" spans="1:5">
      <c r="A40" t="s">
        <v>110</v>
      </c>
      <c r="B40" t="s">
        <v>35</v>
      </c>
      <c r="C40" t="s">
        <v>36</v>
      </c>
      <c r="D40" s="6" t="s">
        <v>48</v>
      </c>
      <c r="E40" t="s">
        <v>37</v>
      </c>
    </row>
    <row r="41" spans="1:5" hidden="1" outlineLevel="1">
      <c r="A41" t="s">
        <v>173</v>
      </c>
      <c r="B41" s="2" t="s">
        <v>41</v>
      </c>
      <c r="C41" t="str" cm="1">
        <f t="array" ref="C41">_xlfn.LET(
    _xlpm.limbs_k, _xlfn.REGEXEXTRACT(Merge_Tests[[#This Row],[input]], "=\s*\{?\K[\w,; .-]*", 1),
    _xlpm.limbs_text, INDEX(_xlpm.limbs_k,1,1),
    _xlpm.k, --INDEX(_xlpm.limbs_k,1,2),
    _xlpm.limbs, --_xlfn.TEXTSPLIT(_xlpm.limbs_text,",",";"),
    core_BigInt.Merge(_xlpm.limbs, _xlpm.k)
)</f>
        <v>1234567</v>
      </c>
      <c r="D41" t="b">
        <f>IF(ISERROR(Merge_Tests[[#This Row],[expected]]),
    ERROR.TYPE(Merge_Tests[[#This Row],[expected]]) = ERROR.TYPE(Merge_Tests[[#This Row],[output]]),
    Merge_Tests[[#This Row],[expected]] = Merge_Tests[[#This Row],[output]]
)</f>
        <v>1</v>
      </c>
      <c r="E41" s="4" t="s">
        <v>178</v>
      </c>
    </row>
    <row r="42" spans="1:5" hidden="1" outlineLevel="1">
      <c r="A42" t="s">
        <v>118</v>
      </c>
      <c r="B42" s="2" t="s">
        <v>40</v>
      </c>
      <c r="C42" t="str" cm="1">
        <f t="array" ref="C42">_xlfn.LET(
    _xlpm.limbs_k, _xlfn.REGEXEXTRACT(Merge_Tests[[#This Row],[input]], "=\s*\{?\K[\w,; .-]*", 1),
    _xlpm.limbs_text, INDEX(_xlpm.limbs_k,1,1),
    _xlpm.k, --INDEX(_xlpm.limbs_k,1,2),
    _xlpm.limbs, --_xlfn.TEXTSPLIT(_xlpm.limbs_text,",",";"),
    core_BigInt.Merge(_xlpm.limbs, _xlpm.k)
)</f>
        <v>123456</v>
      </c>
      <c r="D42" t="b">
        <f>IF(ISERROR(Merge_Tests[[#This Row],[expected]]),
    ERROR.TYPE(Merge_Tests[[#This Row],[expected]]) = ERROR.TYPE(Merge_Tests[[#This Row],[output]]),
    Merge_Tests[[#This Row],[expected]] = Merge_Tests[[#This Row],[output]]
)</f>
        <v>1</v>
      </c>
      <c r="E42" s="4" t="s">
        <v>50</v>
      </c>
    </row>
    <row r="43" spans="1:5" hidden="1" outlineLevel="1">
      <c r="A43" t="s">
        <v>174</v>
      </c>
      <c r="B43" s="2" t="s">
        <v>16</v>
      </c>
      <c r="C43" t="str" cm="1">
        <f t="array" ref="C43">_xlfn.LET(
    _xlpm.limbs_k, _xlfn.REGEXEXTRACT(Merge_Tests[[#This Row],[input]], "=\s*\{?\K[\w,; .-]*", 1),
    _xlpm.limbs_text, INDEX(_xlpm.limbs_k,1,1),
    _xlpm.k, --INDEX(_xlpm.limbs_k,1,2),
    _xlpm.limbs, --_xlfn.TEXTSPLIT(_xlpm.limbs_text,",",";"),
    core_BigInt.Merge(_xlpm.limbs, _xlpm.k)
)</f>
        <v>123</v>
      </c>
      <c r="D43" t="b">
        <f>IF(ISERROR(Merge_Tests[[#This Row],[expected]]),
    ERROR.TYPE(Merge_Tests[[#This Row],[expected]]) = ERROR.TYPE(Merge_Tests[[#This Row],[output]]),
    Merge_Tests[[#This Row],[expected]] = Merge_Tests[[#This Row],[output]]
)</f>
        <v>1</v>
      </c>
      <c r="E43" s="4" t="s">
        <v>93</v>
      </c>
    </row>
    <row r="44" spans="1:5" hidden="1" outlineLevel="1">
      <c r="A44" t="s">
        <v>175</v>
      </c>
      <c r="B44" s="2" t="s">
        <v>42</v>
      </c>
      <c r="C44" t="str" cm="1">
        <f t="array" ref="C44">_xlfn.LET(
    _xlpm.limbs_k, _xlfn.REGEXEXTRACT(Merge_Tests[[#This Row],[input]], "=\s*\{?\K[\w,; .-]*", 1),
    _xlpm.limbs_text, INDEX(_xlpm.limbs_k,1,1),
    _xlpm.k, --INDEX(_xlpm.limbs_k,1,2),
    _xlpm.limbs, --_xlfn.TEXTSPLIT(_xlpm.limbs_text,",",";"),
    core_BigInt.Merge(_xlpm.limbs, _xlpm.k)
)</f>
        <v>1000002</v>
      </c>
      <c r="D44" t="b">
        <f>IF(ISERROR(Merge_Tests[[#This Row],[expected]]),
    ERROR.TYPE(Merge_Tests[[#This Row],[expected]]) = ERROR.TYPE(Merge_Tests[[#This Row],[output]]),
    Merge_Tests[[#This Row],[expected]] = Merge_Tests[[#This Row],[output]]
)</f>
        <v>1</v>
      </c>
      <c r="E44" s="4" t="s">
        <v>51</v>
      </c>
    </row>
    <row r="45" spans="1:5" hidden="1" outlineLevel="1">
      <c r="A45" t="s">
        <v>176</v>
      </c>
      <c r="B45" s="2" t="s">
        <v>49</v>
      </c>
      <c r="C45" t="str" cm="1">
        <f t="array" ref="C45">_xlfn.LET(
    _xlpm.limbs_k, _xlfn.REGEXEXTRACT(Merge_Tests[[#This Row],[input]], "=\s*\{?\K[\w,; .-]*", 1),
    _xlpm.limbs_text, INDEX(_xlpm.limbs_k,1,1),
    _xlpm.k, --INDEX(_xlpm.limbs_k,1,2),
    _xlpm.limbs, --_xlfn.TEXTSPLIT(_xlpm.limbs_text,",",";"),
    core_BigInt.Merge(_xlpm.limbs, _xlpm.k)
)</f>
        <v>5</v>
      </c>
      <c r="D45" t="b">
        <f>IF(ISERROR(Merge_Tests[[#This Row],[expected]]),
    ERROR.TYPE(Merge_Tests[[#This Row],[expected]]) = ERROR.TYPE(Merge_Tests[[#This Row],[output]]),
    Merge_Tests[[#This Row],[expected]] = Merge_Tests[[#This Row],[output]]
)</f>
        <v>1</v>
      </c>
      <c r="E45" s="4" t="s">
        <v>177</v>
      </c>
    </row>
    <row r="46" spans="1:5" collapsed="1">
      <c r="B46" s="2"/>
      <c r="D46" t="b">
        <f>AND(Merge_Tests[passing])</f>
        <v>1</v>
      </c>
    </row>
    <row r="47" spans="1:5" ht="15" thickBot="1"/>
    <row r="48" spans="1:5" ht="18.5">
      <c r="A48" s="5" t="s">
        <v>427</v>
      </c>
      <c r="B48" s="5"/>
      <c r="C48" s="5"/>
      <c r="D48" s="5"/>
      <c r="E48" s="5"/>
    </row>
    <row r="49" spans="1:5">
      <c r="A49" t="s">
        <v>110</v>
      </c>
      <c r="B49" t="s">
        <v>35</v>
      </c>
      <c r="C49" t="s">
        <v>36</v>
      </c>
      <c r="D49" s="6" t="s">
        <v>48</v>
      </c>
      <c r="E49" t="s">
        <v>37</v>
      </c>
    </row>
    <row r="50" spans="1:5" hidden="1" outlineLevel="1">
      <c r="A50" s="2" t="s">
        <v>4</v>
      </c>
      <c r="B50" s="2">
        <v>0</v>
      </c>
      <c r="C50" cm="1">
        <f t="array" ref="C50">BigInt.Sign(Internal_Sign_Tests[[#This Row],[input]])</f>
        <v>0</v>
      </c>
      <c r="D50" t="b">
        <f>IF(ISERROR(Internal_Sign_Tests[[#This Row],[expected]]),
    ERROR.TYPE(Internal_Sign_Tests[[#This Row],[expected]]) = ERROR.TYPE(Internal_Sign_Tests[[#This Row],[output]]),
    Internal_Sign_Tests[[#This Row],[expected]] = Internal_Sign_Tests[[#This Row],[output]]
)</f>
        <v>1</v>
      </c>
      <c r="E50" s="4" t="s">
        <v>75</v>
      </c>
    </row>
    <row r="51" spans="1:5" hidden="1" outlineLevel="1">
      <c r="A51" s="2" t="s">
        <v>5</v>
      </c>
      <c r="B51" s="2">
        <v>0</v>
      </c>
      <c r="C51" cm="1">
        <f t="array" ref="C51">BigInt.Sign(Internal_Sign_Tests[[#This Row],[input]])</f>
        <v>0</v>
      </c>
      <c r="D51" t="b">
        <f>IF(ISERROR(Internal_Sign_Tests[[#This Row],[expected]]),
    ERROR.TYPE(Internal_Sign_Tests[[#This Row],[expected]]) = ERROR.TYPE(Internal_Sign_Tests[[#This Row],[output]]),
    Internal_Sign_Tests[[#This Row],[expected]] = Internal_Sign_Tests[[#This Row],[output]]
)</f>
        <v>1</v>
      </c>
      <c r="E51" s="4" t="s">
        <v>74</v>
      </c>
    </row>
    <row r="52" spans="1:5" hidden="1" outlineLevel="1">
      <c r="A52" s="2" t="s">
        <v>6</v>
      </c>
      <c r="B52" s="2">
        <v>0</v>
      </c>
      <c r="C52" cm="1">
        <f t="array" ref="C52">BigInt.Sign(Internal_Sign_Tests[[#This Row],[input]])</f>
        <v>0</v>
      </c>
      <c r="D52" t="b">
        <f>IF(ISERROR(Internal_Sign_Tests[[#This Row],[expected]]),
    ERROR.TYPE(Internal_Sign_Tests[[#This Row],[expected]]) = ERROR.TYPE(Internal_Sign_Tests[[#This Row],[output]]),
    Internal_Sign_Tests[[#This Row],[expected]] = Internal_Sign_Tests[[#This Row],[output]]
)</f>
        <v>1</v>
      </c>
      <c r="E52" s="4" t="s">
        <v>73</v>
      </c>
    </row>
    <row r="53" spans="1:5" hidden="1" outlineLevel="1">
      <c r="A53" s="2" t="s">
        <v>52</v>
      </c>
      <c r="B53" s="2">
        <v>0</v>
      </c>
      <c r="C53" cm="1">
        <f t="array" ref="C53">BigInt.Sign(Internal_Sign_Tests[[#This Row],[input]])</f>
        <v>0</v>
      </c>
      <c r="D53" t="b">
        <f>IF(ISERROR(Internal_Sign_Tests[[#This Row],[expected]]),
    ERROR.TYPE(Internal_Sign_Tests[[#This Row],[expected]]) = ERROR.TYPE(Internal_Sign_Tests[[#This Row],[output]]),
    Internal_Sign_Tests[[#This Row],[expected]] = Internal_Sign_Tests[[#This Row],[output]]
)</f>
        <v>1</v>
      </c>
      <c r="E53" s="4" t="s">
        <v>76</v>
      </c>
    </row>
    <row r="54" spans="1:5" hidden="1" outlineLevel="1">
      <c r="B54" s="2">
        <v>0</v>
      </c>
      <c r="C54" cm="1">
        <f t="array" ref="C54">BigInt.Sign(Internal_Sign_Tests[[#This Row],[input]])</f>
        <v>0</v>
      </c>
      <c r="D54" t="b">
        <f>IF(ISERROR(Internal_Sign_Tests[[#This Row],[expected]]),
    ERROR.TYPE(Internal_Sign_Tests[[#This Row],[expected]]) = ERROR.TYPE(Internal_Sign_Tests[[#This Row],[output]]),
    Internal_Sign_Tests[[#This Row],[expected]] = Internal_Sign_Tests[[#This Row],[output]]
)</f>
        <v>1</v>
      </c>
      <c r="E54" s="4" t="s">
        <v>77</v>
      </c>
    </row>
    <row r="55" spans="1:5" hidden="1" outlineLevel="1">
      <c r="A55" s="2" t="s">
        <v>53</v>
      </c>
      <c r="B55" s="2">
        <v>1</v>
      </c>
      <c r="C55" cm="1">
        <f t="array" ref="C55">BigInt.Sign(Internal_Sign_Tests[[#This Row],[input]])</f>
        <v>1</v>
      </c>
      <c r="D55" t="b">
        <f>IF(ISERROR(Internal_Sign_Tests[[#This Row],[expected]]),
    ERROR.TYPE(Internal_Sign_Tests[[#This Row],[expected]]) = ERROR.TYPE(Internal_Sign_Tests[[#This Row],[output]]),
    Internal_Sign_Tests[[#This Row],[expected]] = Internal_Sign_Tests[[#This Row],[output]]
)</f>
        <v>1</v>
      </c>
      <c r="E55" s="4" t="s">
        <v>78</v>
      </c>
    </row>
    <row r="56" spans="1:5" hidden="1" outlineLevel="1">
      <c r="A56" s="2" t="s">
        <v>54</v>
      </c>
      <c r="B56" s="2">
        <v>-1</v>
      </c>
      <c r="C56" cm="1">
        <f t="array" ref="C56">BigInt.Sign(Internal_Sign_Tests[[#This Row],[input]])</f>
        <v>-1</v>
      </c>
      <c r="D56" t="b">
        <f>IF(ISERROR(Internal_Sign_Tests[[#This Row],[expected]]),
    ERROR.TYPE(Internal_Sign_Tests[[#This Row],[expected]]) = ERROR.TYPE(Internal_Sign_Tests[[#This Row],[output]]),
    Internal_Sign_Tests[[#This Row],[expected]] = Internal_Sign_Tests[[#This Row],[output]]
)</f>
        <v>1</v>
      </c>
      <c r="E56" s="4" t="s">
        <v>79</v>
      </c>
    </row>
    <row r="57" spans="1:5" hidden="1" outlineLevel="1">
      <c r="A57" s="2" t="s">
        <v>69</v>
      </c>
      <c r="B57" s="2">
        <v>-1</v>
      </c>
      <c r="C57" cm="1">
        <f t="array" ref="C57">BigInt.Sign(Internal_Sign_Tests[[#This Row],[input]])</f>
        <v>-1</v>
      </c>
      <c r="D57" t="b">
        <f>IF(ISERROR(Internal_Sign_Tests[[#This Row],[expected]]),
    ERROR.TYPE(Internal_Sign_Tests[[#This Row],[expected]]) = ERROR.TYPE(Internal_Sign_Tests[[#This Row],[output]]),
    Internal_Sign_Tests[[#This Row],[expected]] = Internal_Sign_Tests[[#This Row],[output]]
)</f>
        <v>1</v>
      </c>
      <c r="E57" s="4" t="s">
        <v>81</v>
      </c>
    </row>
    <row r="58" spans="1:5" hidden="1" outlineLevel="1">
      <c r="A58" s="2" t="s">
        <v>80</v>
      </c>
      <c r="B58">
        <v>1</v>
      </c>
      <c r="C58" cm="1">
        <f t="array" ref="C58">BigInt.Sign(Internal_Sign_Tests[[#This Row],[input]])</f>
        <v>1</v>
      </c>
      <c r="D58" t="b">
        <f>IF(ISERROR(Internal_Sign_Tests[[#This Row],[expected]]),
    ERROR.TYPE(Internal_Sign_Tests[[#This Row],[expected]]) = ERROR.TYPE(Internal_Sign_Tests[[#This Row],[output]]),
    Internal_Sign_Tests[[#This Row],[expected]] = Internal_Sign_Tests[[#This Row],[output]]
)</f>
        <v>1</v>
      </c>
      <c r="E58" s="4" t="s">
        <v>82</v>
      </c>
    </row>
    <row r="59" spans="1:5" hidden="1" outlineLevel="1">
      <c r="A59" s="2" t="s">
        <v>83</v>
      </c>
      <c r="B59" t="e">
        <v>#VALUE!</v>
      </c>
      <c r="C59" t="e" cm="1">
        <f t="array" ref="C59">BigInt.Sign(Internal_Sign_Tests[[#This Row],[input]])</f>
        <v>#VALUE!</v>
      </c>
      <c r="D59" t="b">
        <f>IF(ISERROR(Internal_Sign_Tests[[#This Row],[expected]]),
    ERROR.TYPE(Internal_Sign_Tests[[#This Row],[expected]]) = ERROR.TYPE(Internal_Sign_Tests[[#This Row],[output]]),
    Internal_Sign_Tests[[#This Row],[expected]] = Internal_Sign_Tests[[#This Row],[output]]
)</f>
        <v>1</v>
      </c>
      <c r="E59" s="4" t="s">
        <v>84</v>
      </c>
    </row>
    <row r="60" spans="1:5" collapsed="1">
      <c r="A60" s="2"/>
      <c r="D60" t="b">
        <f>AND(Internal_Sign_Tests[passing])</f>
        <v>1</v>
      </c>
    </row>
    <row r="61" spans="1:5" ht="15" thickBot="1"/>
    <row r="62" spans="1:5" ht="18.5">
      <c r="A62" s="5" t="s">
        <v>428</v>
      </c>
      <c r="B62" s="5"/>
      <c r="C62" s="5"/>
      <c r="D62" s="5"/>
      <c r="E62" s="5"/>
    </row>
    <row r="63" spans="1:5">
      <c r="A63" t="s">
        <v>110</v>
      </c>
      <c r="B63" t="s">
        <v>35</v>
      </c>
      <c r="C63" t="s">
        <v>36</v>
      </c>
      <c r="D63" s="6" t="s">
        <v>48</v>
      </c>
      <c r="E63" t="s">
        <v>37</v>
      </c>
    </row>
    <row r="64" spans="1:5" hidden="1" outlineLevel="1">
      <c r="A64" s="2" t="s">
        <v>4</v>
      </c>
      <c r="B64" t="b">
        <v>1</v>
      </c>
      <c r="C64" t="b" cm="1">
        <f t="array" ref="C64">BigInt.IsZero(IsZero_Tests[[#This Row],[input]])</f>
        <v>1</v>
      </c>
      <c r="D64" t="b">
        <f>IF(ISERROR(IsZero_Tests[[#This Row],[expected]]),
    ERROR.TYPE(IsZero_Tests[[#This Row],[expected]]) = ERROR.TYPE(IsZero_Tests[[#This Row],[output]]),
    IsZero_Tests[[#This Row],[expected]] = IsZero_Tests[[#This Row],[output]]
)</f>
        <v>1</v>
      </c>
      <c r="E64" s="4" t="s">
        <v>56</v>
      </c>
    </row>
    <row r="65" spans="1:5" hidden="1" outlineLevel="1">
      <c r="A65" s="2" t="s">
        <v>5</v>
      </c>
      <c r="B65" t="b">
        <v>1</v>
      </c>
      <c r="C65" t="b" cm="1">
        <f t="array" ref="C65">BigInt.IsZero(IsZero_Tests[[#This Row],[input]])</f>
        <v>1</v>
      </c>
      <c r="D65" t="b">
        <f>IF(ISERROR(IsZero_Tests[[#This Row],[expected]]),
    ERROR.TYPE(IsZero_Tests[[#This Row],[expected]]) = ERROR.TYPE(IsZero_Tests[[#This Row],[output]]),
    IsZero_Tests[[#This Row],[expected]] = IsZero_Tests[[#This Row],[output]]
)</f>
        <v>1</v>
      </c>
      <c r="E65" s="4" t="s">
        <v>55</v>
      </c>
    </row>
    <row r="66" spans="1:5" hidden="1" outlineLevel="1">
      <c r="A66" s="2" t="s">
        <v>6</v>
      </c>
      <c r="B66" t="b">
        <v>1</v>
      </c>
      <c r="C66" t="b" cm="1">
        <f t="array" ref="C66">BigInt.IsZero(IsZero_Tests[[#This Row],[input]])</f>
        <v>1</v>
      </c>
      <c r="D66" t="b">
        <f>IF(ISERROR(IsZero_Tests[[#This Row],[expected]]),
    ERROR.TYPE(IsZero_Tests[[#This Row],[expected]]) = ERROR.TYPE(IsZero_Tests[[#This Row],[output]]),
    IsZero_Tests[[#This Row],[expected]] = IsZero_Tests[[#This Row],[output]]
)</f>
        <v>1</v>
      </c>
      <c r="E66" s="4" t="s">
        <v>57</v>
      </c>
    </row>
    <row r="67" spans="1:5" hidden="1" outlineLevel="1">
      <c r="A67" s="2" t="s">
        <v>52</v>
      </c>
      <c r="B67" t="b">
        <v>1</v>
      </c>
      <c r="C67" t="b" cm="1">
        <f t="array" ref="C67">BigInt.IsZero(IsZero_Tests[[#This Row],[input]])</f>
        <v>1</v>
      </c>
      <c r="D67" t="b">
        <f>IF(ISERROR(IsZero_Tests[[#This Row],[expected]]),
    ERROR.TYPE(IsZero_Tests[[#This Row],[expected]]) = ERROR.TYPE(IsZero_Tests[[#This Row],[output]]),
    IsZero_Tests[[#This Row],[expected]] = IsZero_Tests[[#This Row],[output]]
)</f>
        <v>1</v>
      </c>
      <c r="E67" s="4" t="s">
        <v>58</v>
      </c>
    </row>
    <row r="68" spans="1:5" hidden="1" outlineLevel="1">
      <c r="B68" t="b">
        <v>1</v>
      </c>
      <c r="C68" t="b" cm="1">
        <f t="array" ref="C68">BigInt.IsZero(IsZero_Tests[[#This Row],[input]])</f>
        <v>1</v>
      </c>
      <c r="D68" t="b">
        <f>IF(ISERROR(IsZero_Tests[[#This Row],[expected]]),
    ERROR.TYPE(IsZero_Tests[[#This Row],[expected]]) = ERROR.TYPE(IsZero_Tests[[#This Row],[output]]),
    IsZero_Tests[[#This Row],[expected]] = IsZero_Tests[[#This Row],[output]]
)</f>
        <v>1</v>
      </c>
      <c r="E68" s="4" t="s">
        <v>59</v>
      </c>
    </row>
    <row r="69" spans="1:5" hidden="1" outlineLevel="1">
      <c r="A69" s="2" t="s">
        <v>53</v>
      </c>
      <c r="B69" t="b">
        <v>0</v>
      </c>
      <c r="C69" t="b" cm="1">
        <f t="array" ref="C69">BigInt.IsZero(IsZero_Tests[[#This Row],[input]])</f>
        <v>0</v>
      </c>
      <c r="D69" t="b">
        <f>IF(ISERROR(IsZero_Tests[[#This Row],[expected]]),
    ERROR.TYPE(IsZero_Tests[[#This Row],[expected]]) = ERROR.TYPE(IsZero_Tests[[#This Row],[output]]),
    IsZero_Tests[[#This Row],[expected]] = IsZero_Tests[[#This Row],[output]]
)</f>
        <v>1</v>
      </c>
      <c r="E69" s="4" t="s">
        <v>60</v>
      </c>
    </row>
    <row r="70" spans="1:5" hidden="1" outlineLevel="1">
      <c r="A70" s="2" t="s">
        <v>54</v>
      </c>
      <c r="B70" t="b">
        <v>0</v>
      </c>
      <c r="C70" t="b" cm="1">
        <f t="array" ref="C70">BigInt.IsZero(IsZero_Tests[[#This Row],[input]])</f>
        <v>0</v>
      </c>
      <c r="D70" t="b">
        <f>IF(ISERROR(IsZero_Tests[[#This Row],[expected]]),
    ERROR.TYPE(IsZero_Tests[[#This Row],[expected]]) = ERROR.TYPE(IsZero_Tests[[#This Row],[output]]),
    IsZero_Tests[[#This Row],[expected]] = IsZero_Tests[[#This Row],[output]]
)</f>
        <v>1</v>
      </c>
      <c r="E70" s="4" t="s">
        <v>61</v>
      </c>
    </row>
    <row r="71" spans="1:5" collapsed="1">
      <c r="A71" s="2"/>
      <c r="D71" t="b">
        <f>AND(IsZero_Tests[passing])</f>
        <v>1</v>
      </c>
    </row>
    <row r="72" spans="1:5" ht="15" thickBot="1"/>
    <row r="73" spans="1:5" ht="18.5">
      <c r="A73" s="5" t="s">
        <v>429</v>
      </c>
      <c r="B73" s="5"/>
      <c r="C73" s="5"/>
      <c r="D73" s="5"/>
      <c r="E73" s="5"/>
    </row>
    <row r="74" spans="1:5">
      <c r="A74" t="s">
        <v>110</v>
      </c>
      <c r="B74" t="s">
        <v>35</v>
      </c>
      <c r="C74" t="s">
        <v>36</v>
      </c>
      <c r="D74" s="6" t="s">
        <v>48</v>
      </c>
      <c r="E74" t="s">
        <v>37</v>
      </c>
    </row>
    <row r="75" spans="1:5" hidden="1" outlineLevel="1">
      <c r="A75" s="2" t="s">
        <v>4</v>
      </c>
      <c r="B75" t="b">
        <v>0</v>
      </c>
      <c r="C75" t="b" cm="1">
        <f t="array" ref="C75">BigInt.IsNeg(IsNeg_Tests[[#This Row],[input]])</f>
        <v>0</v>
      </c>
      <c r="D75" t="b">
        <f>IF(ISERROR(IsNeg_Tests[[#This Row],[expected]]),
    ERROR.TYPE(IsNeg_Tests[[#This Row],[expected]]) = ERROR.TYPE(IsNeg_Tests[[#This Row],[output]]),
    IsNeg_Tests[[#This Row],[expected]] = IsNeg_Tests[[#This Row],[output]]
)</f>
        <v>1</v>
      </c>
      <c r="E75" s="4" t="s">
        <v>62</v>
      </c>
    </row>
    <row r="76" spans="1:5" hidden="1" outlineLevel="1">
      <c r="A76" s="2" t="s">
        <v>5</v>
      </c>
      <c r="B76" t="b">
        <v>0</v>
      </c>
      <c r="C76" t="b" cm="1">
        <f t="array" ref="C76">BigInt.IsNeg(IsNeg_Tests[[#This Row],[input]])</f>
        <v>0</v>
      </c>
      <c r="D76" t="b">
        <f>IF(ISERROR(IsNeg_Tests[[#This Row],[expected]]),
    ERROR.TYPE(IsNeg_Tests[[#This Row],[expected]]) = ERROR.TYPE(IsNeg_Tests[[#This Row],[output]]),
    IsNeg_Tests[[#This Row],[expected]] = IsNeg_Tests[[#This Row],[output]]
)</f>
        <v>1</v>
      </c>
      <c r="E76" s="4" t="s">
        <v>63</v>
      </c>
    </row>
    <row r="77" spans="1:5" hidden="1" outlineLevel="1">
      <c r="A77" s="2" t="s">
        <v>6</v>
      </c>
      <c r="B77" t="b">
        <v>0</v>
      </c>
      <c r="C77" t="b" cm="1">
        <f t="array" ref="C77">BigInt.IsNeg(IsNeg_Tests[[#This Row],[input]])</f>
        <v>0</v>
      </c>
      <c r="D77" t="b">
        <f>IF(ISERROR(IsNeg_Tests[[#This Row],[expected]]),
    ERROR.TYPE(IsNeg_Tests[[#This Row],[expected]]) = ERROR.TYPE(IsNeg_Tests[[#This Row],[output]]),
    IsNeg_Tests[[#This Row],[expected]] = IsNeg_Tests[[#This Row],[output]]
)</f>
        <v>1</v>
      </c>
      <c r="E77" s="4" t="s">
        <v>64</v>
      </c>
    </row>
    <row r="78" spans="1:5" hidden="1" outlineLevel="1">
      <c r="A78" s="2" t="s">
        <v>52</v>
      </c>
      <c r="B78" t="b">
        <v>0</v>
      </c>
      <c r="C78" t="b" cm="1">
        <f t="array" ref="C78">BigInt.IsNeg(IsNeg_Tests[[#This Row],[input]])</f>
        <v>0</v>
      </c>
      <c r="D78" t="b">
        <f>IF(ISERROR(IsNeg_Tests[[#This Row],[expected]]),
    ERROR.TYPE(IsNeg_Tests[[#This Row],[expected]]) = ERROR.TYPE(IsNeg_Tests[[#This Row],[output]]),
    IsNeg_Tests[[#This Row],[expected]] = IsNeg_Tests[[#This Row],[output]]
)</f>
        <v>1</v>
      </c>
      <c r="E78" s="4" t="s">
        <v>65</v>
      </c>
    </row>
    <row r="79" spans="1:5" hidden="1" outlineLevel="1">
      <c r="B79" t="b">
        <v>0</v>
      </c>
      <c r="C79" t="b" cm="1">
        <f t="array" ref="C79">BigInt.IsNeg(IsNeg_Tests[[#This Row],[input]])</f>
        <v>0</v>
      </c>
      <c r="D79" t="b">
        <f>IF(ISERROR(IsNeg_Tests[[#This Row],[expected]]),
    ERROR.TYPE(IsNeg_Tests[[#This Row],[expected]]) = ERROR.TYPE(IsNeg_Tests[[#This Row],[output]]),
    IsNeg_Tests[[#This Row],[expected]] = IsNeg_Tests[[#This Row],[output]]
)</f>
        <v>1</v>
      </c>
      <c r="E79" s="4" t="s">
        <v>66</v>
      </c>
    </row>
    <row r="80" spans="1:5" hidden="1" outlineLevel="1">
      <c r="A80" s="2" t="s">
        <v>53</v>
      </c>
      <c r="B80" t="b">
        <v>0</v>
      </c>
      <c r="C80" t="b" cm="1">
        <f t="array" ref="C80">BigInt.IsNeg(IsNeg_Tests[[#This Row],[input]])</f>
        <v>0</v>
      </c>
      <c r="D80" t="b">
        <f>IF(ISERROR(IsNeg_Tests[[#This Row],[expected]]),
    ERROR.TYPE(IsNeg_Tests[[#This Row],[expected]]) = ERROR.TYPE(IsNeg_Tests[[#This Row],[output]]),
    IsNeg_Tests[[#This Row],[expected]] = IsNeg_Tests[[#This Row],[output]]
)</f>
        <v>1</v>
      </c>
      <c r="E80" s="4" t="s">
        <v>67</v>
      </c>
    </row>
    <row r="81" spans="1:5" hidden="1" outlineLevel="1">
      <c r="A81" s="2" t="s">
        <v>54</v>
      </c>
      <c r="B81" t="b">
        <v>1</v>
      </c>
      <c r="C81" t="b" cm="1">
        <f t="array" ref="C81">BigInt.IsNeg(IsNeg_Tests[[#This Row],[input]])</f>
        <v>1</v>
      </c>
      <c r="D81" t="b">
        <f>IF(ISERROR(IsNeg_Tests[[#This Row],[expected]]),
    ERROR.TYPE(IsNeg_Tests[[#This Row],[expected]]) = ERROR.TYPE(IsNeg_Tests[[#This Row],[output]]),
    IsNeg_Tests[[#This Row],[expected]] = IsNeg_Tests[[#This Row],[output]]
)</f>
        <v>1</v>
      </c>
      <c r="E81" s="4" t="s">
        <v>68</v>
      </c>
    </row>
    <row r="82" spans="1:5" collapsed="1">
      <c r="A82" s="2"/>
      <c r="D82" t="b">
        <f>AND(IsNeg_Tests[passing])</f>
        <v>1</v>
      </c>
    </row>
    <row r="83" spans="1:5" ht="15" thickBot="1"/>
    <row r="84" spans="1:5" ht="18.5">
      <c r="A84" s="5" t="s">
        <v>430</v>
      </c>
      <c r="B84" s="5"/>
      <c r="C84" s="5"/>
      <c r="D84" s="5"/>
      <c r="E84" s="5"/>
    </row>
    <row r="85" spans="1:5">
      <c r="A85" t="s">
        <v>110</v>
      </c>
      <c r="B85" t="s">
        <v>35</v>
      </c>
      <c r="C85" t="s">
        <v>36</v>
      </c>
      <c r="D85" s="6" t="s">
        <v>48</v>
      </c>
      <c r="E85" t="s">
        <v>37</v>
      </c>
    </row>
    <row r="86" spans="1:5" hidden="1" outlineLevel="1">
      <c r="A86" s="2" t="s">
        <v>4</v>
      </c>
      <c r="B86" s="2" t="s">
        <v>4</v>
      </c>
      <c r="C86" t="str" cm="1">
        <f t="array" ref="C86">BigInt.Abs(Abs_Tests[[#This Row],[input]])</f>
        <v>0</v>
      </c>
      <c r="D86" t="b">
        <f>IF(ISERROR(Abs_Tests[[#This Row],[expected]]),
    ERROR.TYPE(Abs_Tests[[#This Row],[expected]]) = ERROR.TYPE(Abs_Tests[[#This Row],[output]]),
    Abs_Tests[[#This Row],[expected]] = Abs_Tests[[#This Row],[output]]
)</f>
        <v>1</v>
      </c>
      <c r="E86" s="4" t="s">
        <v>70</v>
      </c>
    </row>
    <row r="87" spans="1:5" hidden="1" outlineLevel="1">
      <c r="A87" s="2" t="s">
        <v>5</v>
      </c>
      <c r="B87" s="2" t="s">
        <v>4</v>
      </c>
      <c r="C87" t="str" cm="1">
        <f t="array" ref="C87">BigInt.Abs(Abs_Tests[[#This Row],[input]])</f>
        <v>0</v>
      </c>
      <c r="D87" t="b">
        <f>IF(ISERROR(Abs_Tests[[#This Row],[expected]]),
    ERROR.TYPE(Abs_Tests[[#This Row],[expected]]) = ERROR.TYPE(Abs_Tests[[#This Row],[output]]),
    Abs_Tests[[#This Row],[expected]] = Abs_Tests[[#This Row],[output]]
)</f>
        <v>1</v>
      </c>
      <c r="E87" s="4" t="s">
        <v>63</v>
      </c>
    </row>
    <row r="88" spans="1:5" hidden="1" outlineLevel="1">
      <c r="A88" s="2" t="s">
        <v>6</v>
      </c>
      <c r="B88" s="2" t="s">
        <v>4</v>
      </c>
      <c r="C88" t="str" cm="1">
        <f t="array" ref="C88">BigInt.Abs(Abs_Tests[[#This Row],[input]])</f>
        <v>0</v>
      </c>
      <c r="D88" t="b">
        <f>IF(ISERROR(Abs_Tests[[#This Row],[expected]]),
    ERROR.TYPE(Abs_Tests[[#This Row],[expected]]) = ERROR.TYPE(Abs_Tests[[#This Row],[output]]),
    Abs_Tests[[#This Row],[expected]] = Abs_Tests[[#This Row],[output]]
)</f>
        <v>1</v>
      </c>
      <c r="E88" s="4" t="s">
        <v>64</v>
      </c>
    </row>
    <row r="89" spans="1:5" hidden="1" outlineLevel="1">
      <c r="A89" s="2" t="s">
        <v>52</v>
      </c>
      <c r="B89" s="2" t="s">
        <v>4</v>
      </c>
      <c r="C89" t="str" cm="1">
        <f t="array" ref="C89">BigInt.Abs(Abs_Tests[[#This Row],[input]])</f>
        <v>0</v>
      </c>
      <c r="D89" t="b">
        <f>IF(ISERROR(Abs_Tests[[#This Row],[expected]]),
    ERROR.TYPE(Abs_Tests[[#This Row],[expected]]) = ERROR.TYPE(Abs_Tests[[#This Row],[output]]),
    Abs_Tests[[#This Row],[expected]] = Abs_Tests[[#This Row],[output]]
)</f>
        <v>1</v>
      </c>
      <c r="E89" s="4" t="s">
        <v>65</v>
      </c>
    </row>
    <row r="90" spans="1:5" hidden="1" outlineLevel="1">
      <c r="B90" s="2" t="s">
        <v>4</v>
      </c>
      <c r="C90" t="str" cm="1">
        <f t="array" ref="C90">BigInt.Abs(Abs_Tests[[#This Row],[input]])</f>
        <v>0</v>
      </c>
      <c r="D90" t="b">
        <f>IF(ISERROR(Abs_Tests[[#This Row],[expected]]),
    ERROR.TYPE(Abs_Tests[[#This Row],[expected]]) = ERROR.TYPE(Abs_Tests[[#This Row],[output]]),
    Abs_Tests[[#This Row],[expected]] = Abs_Tests[[#This Row],[output]]
)</f>
        <v>1</v>
      </c>
      <c r="E90" s="4" t="s">
        <v>66</v>
      </c>
    </row>
    <row r="91" spans="1:5" hidden="1" outlineLevel="1">
      <c r="A91" s="2" t="s">
        <v>53</v>
      </c>
      <c r="B91" s="2" t="s">
        <v>53</v>
      </c>
      <c r="C91" t="str" cm="1">
        <f t="array" ref="C91">BigInt.Abs(Abs_Tests[[#This Row],[input]])</f>
        <v>1</v>
      </c>
      <c r="D91" t="b">
        <f>IF(ISERROR(Abs_Tests[[#This Row],[expected]]),
    ERROR.TYPE(Abs_Tests[[#This Row],[expected]]) = ERROR.TYPE(Abs_Tests[[#This Row],[output]]),
    Abs_Tests[[#This Row],[expected]] = Abs_Tests[[#This Row],[output]]
)</f>
        <v>1</v>
      </c>
      <c r="E91" s="4" t="s">
        <v>67</v>
      </c>
    </row>
    <row r="92" spans="1:5" hidden="1" outlineLevel="1">
      <c r="A92" s="2" t="s">
        <v>54</v>
      </c>
      <c r="B92" s="2" t="s">
        <v>53</v>
      </c>
      <c r="C92" t="str" cm="1">
        <f t="array" ref="C92">BigInt.Abs(Abs_Tests[[#This Row],[input]])</f>
        <v>1</v>
      </c>
      <c r="D92" t="b">
        <f>IF(ISERROR(Abs_Tests[[#This Row],[expected]]),
    ERROR.TYPE(Abs_Tests[[#This Row],[expected]]) = ERROR.TYPE(Abs_Tests[[#This Row],[output]]),
    Abs_Tests[[#This Row],[expected]] = Abs_Tests[[#This Row],[output]]
)</f>
        <v>1</v>
      </c>
      <c r="E92" s="4" t="s">
        <v>72</v>
      </c>
    </row>
    <row r="93" spans="1:5" hidden="1" outlineLevel="1">
      <c r="A93" s="2" t="s">
        <v>69</v>
      </c>
      <c r="B93" s="2" t="s">
        <v>16</v>
      </c>
      <c r="C93" t="str" cm="1">
        <f t="array" ref="C93">BigInt.Abs(Abs_Tests[[#This Row],[input]])</f>
        <v>123</v>
      </c>
      <c r="D93" t="b">
        <f>IF(ISERROR(Abs_Tests[[#This Row],[expected]]),
    ERROR.TYPE(Abs_Tests[[#This Row],[expected]]) = ERROR.TYPE(Abs_Tests[[#This Row],[output]]),
    Abs_Tests[[#This Row],[expected]] = Abs_Tests[[#This Row],[output]]
)</f>
        <v>1</v>
      </c>
      <c r="E93" s="4" t="s">
        <v>71</v>
      </c>
    </row>
    <row r="94" spans="1:5" collapsed="1">
      <c r="A94" s="2"/>
      <c r="D94" t="b">
        <f>AND(Abs_Tests[passing])</f>
        <v>1</v>
      </c>
    </row>
    <row r="95" spans="1:5" ht="15" thickBot="1"/>
    <row r="96" spans="1:5" ht="18.5">
      <c r="A96" s="5" t="s">
        <v>431</v>
      </c>
      <c r="B96" s="5"/>
      <c r="C96" s="5"/>
      <c r="D96" s="5"/>
      <c r="E96" s="5"/>
    </row>
    <row r="97" spans="1:5">
      <c r="A97" t="s">
        <v>110</v>
      </c>
      <c r="B97" t="s">
        <v>35</v>
      </c>
      <c r="C97" t="s">
        <v>36</v>
      </c>
      <c r="D97" s="6" t="s">
        <v>48</v>
      </c>
      <c r="E97" t="s">
        <v>37</v>
      </c>
    </row>
    <row r="98" spans="1:5" ht="29" hidden="1" outlineLevel="1">
      <c r="A98" s="7" t="s">
        <v>167</v>
      </c>
      <c r="B98" s="9">
        <v>1</v>
      </c>
      <c r="C98" s="9" cm="1">
        <f t="array" ref="C98">_xlfn.LET(
    _xlpm.ab, _xlfn.REGEXEXTRACT(Compare_Tests[[#This Row],[input]], "=\s*\{?\K[\w,; .-]*", 1),
    _xlpm.a, INDEX(_xlpm.ab,1,1),
    _xlpm.b, INDEX(_xlpm.ab,1,2),
    BigInt.Compare(_xlpm.a, _xlpm.b)
)</f>
        <v>1</v>
      </c>
      <c r="D98" s="9" t="b">
        <f>IF(ISERROR(Compare_Tests[[#This Row],[expected]]),
    ERROR.TYPE(Compare_Tests[[#This Row],[expected]]) = ERROR.TYPE(Compare_Tests[[#This Row],[output]]),
    Compare_Tests[[#This Row],[expected]] = Compare_Tests[[#This Row],[output]]
)</f>
        <v>1</v>
      </c>
      <c r="E98" s="10" t="s">
        <v>90</v>
      </c>
    </row>
    <row r="99" spans="1:5" ht="29" hidden="1" outlineLevel="1">
      <c r="A99" s="7" t="s">
        <v>168</v>
      </c>
      <c r="B99" s="9">
        <v>-1</v>
      </c>
      <c r="C99" s="9" cm="1">
        <f t="array" ref="C99">_xlfn.LET(
    _xlpm.ab, _xlfn.REGEXEXTRACT(Compare_Tests[[#This Row],[input]], "=\s*\{?\K[\w,; .-]*", 1),
    _xlpm.a, INDEX(_xlpm.ab,1,1),
    _xlpm.b, INDEX(_xlpm.ab,1,2),
    BigInt.Compare(_xlpm.a, _xlpm.b)
)</f>
        <v>-1</v>
      </c>
      <c r="D99" s="9" t="b">
        <f>IF(ISERROR(Compare_Tests[[#This Row],[expected]]),
    ERROR.TYPE(Compare_Tests[[#This Row],[expected]]) = ERROR.TYPE(Compare_Tests[[#This Row],[output]]),
    Compare_Tests[[#This Row],[expected]] = Compare_Tests[[#This Row],[output]]
)</f>
        <v>1</v>
      </c>
      <c r="E99" s="10" t="s">
        <v>85</v>
      </c>
    </row>
    <row r="100" spans="1:5" ht="29" hidden="1" outlineLevel="1">
      <c r="A100" s="7" t="s">
        <v>169</v>
      </c>
      <c r="B100" s="9">
        <v>1</v>
      </c>
      <c r="C100" s="9" cm="1">
        <f t="array" ref="C100">_xlfn.LET(
    _xlpm.ab, _xlfn.REGEXEXTRACT(Compare_Tests[[#This Row],[input]], "=\s*\{?\K[\w,; .-]*", 1),
    _xlpm.a, INDEX(_xlpm.ab,1,1),
    _xlpm.b, INDEX(_xlpm.ab,1,2),
    BigInt.Compare(_xlpm.a, _xlpm.b)
)</f>
        <v>1</v>
      </c>
      <c r="D100" s="9" t="b">
        <f>IF(ISERROR(Compare_Tests[[#This Row],[expected]]),
    ERROR.TYPE(Compare_Tests[[#This Row],[expected]]) = ERROR.TYPE(Compare_Tests[[#This Row],[output]]),
    Compare_Tests[[#This Row],[expected]] = Compare_Tests[[#This Row],[output]]
)</f>
        <v>1</v>
      </c>
      <c r="E100" s="10" t="s">
        <v>86</v>
      </c>
    </row>
    <row r="101" spans="1:5" ht="29" hidden="1" outlineLevel="1">
      <c r="A101" s="7" t="s">
        <v>170</v>
      </c>
      <c r="B101" s="9">
        <v>-1</v>
      </c>
      <c r="C101" s="9" cm="1">
        <f t="array" ref="C101">_xlfn.LET(
    _xlpm.ab, _xlfn.REGEXEXTRACT(Compare_Tests[[#This Row],[input]], "=\s*\{?\K[\w,; .-]*", 1),
    _xlpm.a, INDEX(_xlpm.ab,1,1),
    _xlpm.b, INDEX(_xlpm.ab,1,2),
    BigInt.Compare(_xlpm.a, _xlpm.b)
)</f>
        <v>-1</v>
      </c>
      <c r="D101" s="9" t="b">
        <f>IF(ISERROR(Compare_Tests[[#This Row],[expected]]),
    ERROR.TYPE(Compare_Tests[[#This Row],[expected]]) = ERROR.TYPE(Compare_Tests[[#This Row],[output]]),
    Compare_Tests[[#This Row],[expected]] = Compare_Tests[[#This Row],[output]]
)</f>
        <v>1</v>
      </c>
      <c r="E101" s="10" t="s">
        <v>87</v>
      </c>
    </row>
    <row r="102" spans="1:5" ht="29" hidden="1" outlineLevel="1">
      <c r="A102" s="7" t="s">
        <v>171</v>
      </c>
      <c r="B102" s="9">
        <v>-1</v>
      </c>
      <c r="C102" s="9" cm="1">
        <f t="array" ref="C102">_xlfn.LET(
    _xlpm.ab, _xlfn.REGEXEXTRACT(Compare_Tests[[#This Row],[input]], "=\s*\{?\K[\w,; .-]*", 1),
    _xlpm.a, INDEX(_xlpm.ab,1,1),
    _xlpm.b, INDEX(_xlpm.ab,1,2),
    BigInt.Compare(_xlpm.a, _xlpm.b)
)</f>
        <v>-1</v>
      </c>
      <c r="D102" s="9" t="b">
        <f>IF(ISERROR(Compare_Tests[[#This Row],[expected]]),
    ERROR.TYPE(Compare_Tests[[#This Row],[expected]]) = ERROR.TYPE(Compare_Tests[[#This Row],[output]]),
    Compare_Tests[[#This Row],[expected]] = Compare_Tests[[#This Row],[output]]
)</f>
        <v>1</v>
      </c>
      <c r="E102" s="10" t="s">
        <v>88</v>
      </c>
    </row>
    <row r="103" spans="1:5" ht="29" hidden="1" outlineLevel="1">
      <c r="A103" s="7" t="s">
        <v>172</v>
      </c>
      <c r="B103" s="9">
        <v>0</v>
      </c>
      <c r="C103" s="9" cm="1">
        <f t="array" ref="C103">_xlfn.LET(
    _xlpm.ab, _xlfn.REGEXEXTRACT(Compare_Tests[[#This Row],[input]], "=\s*\{?\K[\w,; .-]*", 1),
    _xlpm.a, INDEX(_xlpm.ab,1,1),
    _xlpm.b, INDEX(_xlpm.ab,1,2),
    BigInt.Compare(_xlpm.a, _xlpm.b)
)</f>
        <v>0</v>
      </c>
      <c r="D103" s="9" t="b">
        <f>IF(ISERROR(Compare_Tests[[#This Row],[expected]]),
    ERROR.TYPE(Compare_Tests[[#This Row],[expected]]) = ERROR.TYPE(Compare_Tests[[#This Row],[output]]),
    Compare_Tests[[#This Row],[expected]] = Compare_Tests[[#This Row],[output]]
)</f>
        <v>1</v>
      </c>
      <c r="E103" s="10" t="s">
        <v>89</v>
      </c>
    </row>
    <row r="104" spans="1:5" collapsed="1">
      <c r="A104" s="2"/>
      <c r="D104" t="b">
        <f>AND(Compare_Tests[passing])</f>
        <v>1</v>
      </c>
    </row>
    <row r="105" spans="1:5" ht="15" thickBot="1"/>
    <row r="106" spans="1:5" ht="18.5">
      <c r="A106" s="5" t="s">
        <v>416</v>
      </c>
      <c r="B106" s="5"/>
      <c r="C106" s="5"/>
      <c r="D106" s="5"/>
      <c r="E106" s="5"/>
    </row>
    <row r="107" spans="1:5">
      <c r="A107" s="11" t="s">
        <v>110</v>
      </c>
      <c r="B107" t="s">
        <v>35</v>
      </c>
      <c r="C107" t="s">
        <v>36</v>
      </c>
      <c r="D107" s="6" t="s">
        <v>48</v>
      </c>
      <c r="E107" t="s">
        <v>37</v>
      </c>
    </row>
    <row r="108" spans="1:5" ht="29" hidden="1" outlineLevel="1">
      <c r="A108" s="12" t="s">
        <v>161</v>
      </c>
      <c r="B108" s="9" t="s">
        <v>92</v>
      </c>
      <c r="C108" s="9" t="str" cm="1">
        <f t="array" ref="C108">_xlfn.LET(
    _xlpm.limbs_k, _xlfn.REGEXEXTRACT(Carry_Tests[[#This Row],[input]], "=\s*\{?\K[\w,; .-]*", 1),
    _xlpm.limbs_text, INDEX(_xlpm.limbs_k,1,1),
    _xlpm.k, --INDEX(_xlpm.limbs_k,1,2),
    _xlpm.limbs, --_xlfn.TEXTSPLIT(_xlpm.limbs_text,",",";"),
    _xlpm.output, core_BigInt.Carry(_xlpm.limbs, _xlpm.k),
    _xlfn.ARRAYTOTEXT(_xlpm.output, 1)
)</f>
        <v>{456;123}</v>
      </c>
      <c r="D108" s="9" t="b">
        <f>IF(ISERROR(Carry_Tests[[#This Row],[expected]]),
    ERROR.TYPE(Carry_Tests[[#This Row],[expected]]) = ERROR.TYPE(Carry_Tests[[#This Row],[output]]),
    Carry_Tests[[#This Row],[expected]] = Carry_Tests[[#This Row],[output]]
)</f>
        <v>1</v>
      </c>
      <c r="E108" s="10" t="s">
        <v>104</v>
      </c>
    </row>
    <row r="109" spans="1:5" ht="29" hidden="1" outlineLevel="1">
      <c r="A109" s="12" t="s">
        <v>162</v>
      </c>
      <c r="B109" s="9" t="s">
        <v>94</v>
      </c>
      <c r="C109" s="9" t="str" cm="1">
        <f t="array" ref="C109">_xlfn.LET(
    _xlpm.limbs_k, _xlfn.REGEXEXTRACT(Carry_Tests[[#This Row],[input]], "=\s*\{?\K[\w,; .-]*", 1),
    _xlpm.limbs_text, INDEX(_xlpm.limbs_k,1,1),
    _xlpm.k, --INDEX(_xlpm.limbs_k,1,2),
    _xlpm.limbs, --_xlfn.TEXTSPLIT(_xlpm.limbs_text,",",";"),
    _xlpm.output, core_BigInt.Carry(_xlpm.limbs, _xlpm.k),
    _xlfn.ARRAYTOTEXT(_xlpm.output, 1)
)</f>
        <v>{456;124}</v>
      </c>
      <c r="D109" s="9" t="b">
        <f>IF(ISERROR(Carry_Tests[[#This Row],[expected]]),
    ERROR.TYPE(Carry_Tests[[#This Row],[expected]]) = ERROR.TYPE(Carry_Tests[[#This Row],[output]]),
    Carry_Tests[[#This Row],[expected]] = Carry_Tests[[#This Row],[output]]
)</f>
        <v>1</v>
      </c>
      <c r="E109" s="10" t="s">
        <v>105</v>
      </c>
    </row>
    <row r="110" spans="1:5" ht="29" hidden="1" outlineLevel="1">
      <c r="A110" s="12" t="s">
        <v>163</v>
      </c>
      <c r="B110" s="9" t="s">
        <v>95</v>
      </c>
      <c r="C110" s="9" t="str" cm="1">
        <f t="array" ref="C110">_xlfn.LET(
    _xlpm.limbs_k, _xlfn.REGEXEXTRACT(Carry_Tests[[#This Row],[input]], "=\s*\{?\K[\w,; .-]*", 1),
    _xlpm.limbs_text, INDEX(_xlpm.limbs_k,1,1),
    _xlpm.k, --INDEX(_xlpm.limbs_k,1,2),
    _xlpm.limbs, --_xlfn.TEXTSPLIT(_xlpm.limbs_text,",",";"),
    _xlpm.output, core_BigInt.Carry(_xlpm.limbs, _xlpm.k),
    _xlfn.ARRAYTOTEXT(_xlpm.output, 1)
)</f>
        <v>{0;1}</v>
      </c>
      <c r="D110" s="9" t="b">
        <f>IF(ISERROR(Carry_Tests[[#This Row],[expected]]),
    ERROR.TYPE(Carry_Tests[[#This Row],[expected]]) = ERROR.TYPE(Carry_Tests[[#This Row],[output]]),
    Carry_Tests[[#This Row],[expected]] = Carry_Tests[[#This Row],[output]]
)</f>
        <v>1</v>
      </c>
      <c r="E110" s="10" t="s">
        <v>106</v>
      </c>
    </row>
    <row r="111" spans="1:5" ht="29" hidden="1" outlineLevel="1">
      <c r="A111" s="12" t="s">
        <v>164</v>
      </c>
      <c r="B111" s="9" t="s">
        <v>96</v>
      </c>
      <c r="C111" s="9" t="str" cm="1">
        <f t="array" ref="C111">_xlfn.LET(
    _xlpm.limbs_k, _xlfn.REGEXEXTRACT(Carry_Tests[[#This Row],[input]], "=\s*\{?\K[\w,; .-]*", 1),
    _xlpm.limbs_text, INDEX(_xlpm.limbs_k,1,1),
    _xlpm.k, --INDEX(_xlpm.limbs_k,1,2),
    _xlpm.limbs, --_xlfn.TEXTSPLIT(_xlpm.limbs_text,",",";"),
    _xlpm.output, core_BigInt.Carry(_xlpm.limbs, _xlpm.k),
    _xlfn.ARRAYTOTEXT(_xlpm.output, 1)
)</f>
        <v>{500;500;1}</v>
      </c>
      <c r="D111" s="9" t="b">
        <f>IF(ISERROR(Carry_Tests[[#This Row],[expected]]),
    ERROR.TYPE(Carry_Tests[[#This Row],[expected]]) = ERROR.TYPE(Carry_Tests[[#This Row],[output]]),
    Carry_Tests[[#This Row],[expected]] = Carry_Tests[[#This Row],[output]]
)</f>
        <v>1</v>
      </c>
      <c r="E111" s="10" t="s">
        <v>107</v>
      </c>
    </row>
    <row r="112" spans="1:5" ht="29" hidden="1" outlineLevel="1">
      <c r="A112" s="12" t="s">
        <v>165</v>
      </c>
      <c r="B112" s="9" t="s">
        <v>97</v>
      </c>
      <c r="C112" s="9" t="str" cm="1">
        <f t="array" ref="C112">_xlfn.LET(
    _xlpm.limbs_k, _xlfn.REGEXEXTRACT(Carry_Tests[[#This Row],[input]], "=\s*\{?\K[\w,; .-]*", 1),
    _xlpm.limbs_text, INDEX(_xlpm.limbs_k,1,1),
    _xlpm.k, --INDEX(_xlpm.limbs_k,1,2),
    _xlpm.limbs, --_xlfn.TEXTSPLIT(_xlpm.limbs_text,",",";"),
    _xlpm.output, core_BigInt.Carry(_xlpm.limbs, _xlpm.k),
    _xlfn.ARRAYTOTEXT(_xlpm.output, 1)
)</f>
        <v>{999;0;1;1}</v>
      </c>
      <c r="D112" s="9" t="b">
        <f>IF(ISERROR(Carry_Tests[[#This Row],[expected]]),
    ERROR.TYPE(Carry_Tests[[#This Row],[expected]]) = ERROR.TYPE(Carry_Tests[[#This Row],[output]]),
    Carry_Tests[[#This Row],[expected]] = Carry_Tests[[#This Row],[output]]
)</f>
        <v>1</v>
      </c>
      <c r="E112" s="10" t="s">
        <v>108</v>
      </c>
    </row>
    <row r="113" spans="1:5" ht="29" hidden="1" outlineLevel="1">
      <c r="A113" s="12" t="s">
        <v>166</v>
      </c>
      <c r="B113" s="9" t="s">
        <v>91</v>
      </c>
      <c r="C113" s="9" t="str" cm="1">
        <f t="array" ref="C113">_xlfn.LET(
    _xlpm.limbs_k, _xlfn.REGEXEXTRACT(Carry_Tests[[#This Row],[input]], "=\s*\{?\K[\w,; .-]*", 1),
    _xlpm.limbs_text, INDEX(_xlpm.limbs_k,1,1),
    _xlpm.k, --INDEX(_xlpm.limbs_k,1,2),
    _xlpm.limbs, --_xlfn.TEXTSPLIT(_xlpm.limbs_text,",",";"),
    _xlpm.output, core_BigInt.Carry(_xlpm.limbs, _xlpm.k),
    _xlfn.ARRAYTOTEXT(_xlpm.output, 1)
)</f>
        <v>{0;0;0}</v>
      </c>
      <c r="D113" s="9" t="b">
        <f>IF(ISERROR(Carry_Tests[[#This Row],[expected]]),
    ERROR.TYPE(Carry_Tests[[#This Row],[expected]]) = ERROR.TYPE(Carry_Tests[[#This Row],[output]]),
    Carry_Tests[[#This Row],[expected]] = Carry_Tests[[#This Row],[output]]
)</f>
        <v>1</v>
      </c>
      <c r="E113" s="10" t="s">
        <v>109</v>
      </c>
    </row>
    <row r="114" spans="1:5" collapsed="1">
      <c r="A114" s="11"/>
      <c r="D114" t="b">
        <f>AND(Carry_Tests[passing])</f>
        <v>1</v>
      </c>
    </row>
    <row r="115" spans="1:5" ht="15" thickBot="1"/>
    <row r="116" spans="1:5" ht="18.5">
      <c r="A116" s="5" t="s">
        <v>417</v>
      </c>
      <c r="B116" s="5"/>
      <c r="C116" s="5"/>
      <c r="D116" s="5"/>
      <c r="E116" s="5"/>
    </row>
    <row r="117" spans="1:5">
      <c r="A117" t="s">
        <v>110</v>
      </c>
      <c r="B117" t="s">
        <v>35</v>
      </c>
      <c r="C117" t="s">
        <v>36</v>
      </c>
      <c r="D117" s="6" t="s">
        <v>48</v>
      </c>
      <c r="E117" t="s">
        <v>37</v>
      </c>
    </row>
    <row r="118" spans="1:5" ht="43.5" hidden="1" outlineLevel="1">
      <c r="A118" s="7" t="s">
        <v>142</v>
      </c>
      <c r="B118" s="8" t="s">
        <v>119</v>
      </c>
      <c r="C118" s="9" t="str" cm="1">
        <f t="array" ref="C118">_xlfn.LET(
    _xlpm.abk, _xlfn.REGEXEXTRACT(UAdd_Tests[[#This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core_BigInt.UAdd(_xlpm.limbs_a, _xlpm.limbs_b, _xlpm.k),
    _xlfn.ARRAYTOTEXT(_xlpm.output, 1)
)</f>
        <v>{234;678}</v>
      </c>
      <c r="D118" s="9" t="b">
        <f>IF(ISERROR(UAdd_Tests[[#This Row],[expected]]),
    ERROR.TYPE(UAdd_Tests[[#This Row],[expected]]) = ERROR.TYPE(UAdd_Tests[[#This Row],[output]]),
    UAdd_Tests[[#This Row],[expected]] = UAdd_Tests[[#This Row],[output]]
)</f>
        <v>1</v>
      </c>
      <c r="E118" s="10" t="s">
        <v>98</v>
      </c>
    </row>
    <row r="119" spans="1:5" ht="43.5" hidden="1" outlineLevel="1">
      <c r="A119" s="7" t="s">
        <v>141</v>
      </c>
      <c r="B119" s="8" t="s">
        <v>120</v>
      </c>
      <c r="C119" s="9" t="str" cm="1">
        <f t="array" ref="C119">_xlfn.LET(
    _xlpm.abk, _xlfn.REGEXEXTRACT(UAdd_Tests[[#This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core_BigInt.UAdd(_xlpm.limbs_a, _xlpm.limbs_b, _xlpm.k),
    _xlfn.ARRAYTOTEXT(_xlpm.output, 1)
)</f>
        <v>{100;201}</v>
      </c>
      <c r="D119" s="9" t="b">
        <f>IF(ISERROR(UAdd_Tests[[#This Row],[expected]]),
    ERROR.TYPE(UAdd_Tests[[#This Row],[expected]]) = ERROR.TYPE(UAdd_Tests[[#This Row],[output]]),
    UAdd_Tests[[#This Row],[expected]] = UAdd_Tests[[#This Row],[output]]
)</f>
        <v>1</v>
      </c>
      <c r="E119" s="10" t="s">
        <v>99</v>
      </c>
    </row>
    <row r="120" spans="1:5" ht="43.5" hidden="1" outlineLevel="1">
      <c r="A120" s="7" t="s">
        <v>143</v>
      </c>
      <c r="B120" s="8" t="s">
        <v>121</v>
      </c>
      <c r="C120" s="9" t="str" cm="1">
        <f t="array" ref="C120">_xlfn.LET(
    _xlpm.abk, _xlfn.REGEXEXTRACT(UAdd_Tests[[#This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core_BigInt.UAdd(_xlpm.limbs_a, _xlpm.limbs_b, _xlpm.k),
    _xlfn.ARRAYTOTEXT(_xlpm.output, 1)
)</f>
        <v>{0;100;1}</v>
      </c>
      <c r="D120" s="9" t="b">
        <f>IF(ISERROR(UAdd_Tests[[#This Row],[expected]]),
    ERROR.TYPE(UAdd_Tests[[#This Row],[expected]]) = ERROR.TYPE(UAdd_Tests[[#This Row],[output]]),
    UAdd_Tests[[#This Row],[expected]] = UAdd_Tests[[#This Row],[output]]
)</f>
        <v>1</v>
      </c>
      <c r="E120" s="10" t="s">
        <v>100</v>
      </c>
    </row>
    <row r="121" spans="1:5" ht="43.5" hidden="1" outlineLevel="1">
      <c r="A121" s="7" t="s">
        <v>144</v>
      </c>
      <c r="B121" s="8" t="s">
        <v>122</v>
      </c>
      <c r="C121" s="9" t="str" cm="1">
        <f t="array" ref="C121">_xlfn.LET(
    _xlpm.abk, _xlfn.REGEXEXTRACT(UAdd_Tests[[#This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core_BigInt.UAdd(_xlpm.limbs_a, _xlpm.limbs_b, _xlpm.k),
    _xlfn.ARRAYTOTEXT(_xlpm.output, 1)
)</f>
        <v>{234;456;789}</v>
      </c>
      <c r="D121" s="9" t="b">
        <f>IF(ISERROR(UAdd_Tests[[#This Row],[expected]]),
    ERROR.TYPE(UAdd_Tests[[#This Row],[expected]]) = ERROR.TYPE(UAdd_Tests[[#This Row],[output]]),
    UAdd_Tests[[#This Row],[expected]] = UAdd_Tests[[#This Row],[output]]
)</f>
        <v>1</v>
      </c>
      <c r="E121" s="10" t="s">
        <v>101</v>
      </c>
    </row>
    <row r="122" spans="1:5" ht="43.5" hidden="1" outlineLevel="1">
      <c r="A122" s="7" t="s">
        <v>145</v>
      </c>
      <c r="B122" s="8" t="s">
        <v>95</v>
      </c>
      <c r="C122" s="9" t="str" cm="1">
        <f t="array" ref="C122">_xlfn.LET(
    _xlpm.abk, _xlfn.REGEXEXTRACT(UAdd_Tests[[#This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core_BigInt.UAdd(_xlpm.limbs_a, _xlpm.limbs_b, _xlpm.k),
    _xlfn.ARRAYTOTEXT(_xlpm.output, 1)
)</f>
        <v>{0;1}</v>
      </c>
      <c r="D122" s="9" t="b">
        <f>IF(ISERROR(UAdd_Tests[[#This Row],[expected]]),
    ERROR.TYPE(UAdd_Tests[[#This Row],[expected]]) = ERROR.TYPE(UAdd_Tests[[#This Row],[output]]),
    UAdd_Tests[[#This Row],[expected]] = UAdd_Tests[[#This Row],[output]]
)</f>
        <v>1</v>
      </c>
      <c r="E122" s="10" t="s">
        <v>102</v>
      </c>
    </row>
    <row r="123" spans="1:5" ht="43.5" hidden="1" outlineLevel="1">
      <c r="A123" s="7" t="s">
        <v>146</v>
      </c>
      <c r="B123" s="8" t="e">
        <v>#VALUE!</v>
      </c>
      <c r="C123" s="9" t="e" cm="1">
        <f t="array" ref="C123">_xlfn.LET(
    _xlpm.abk, _xlfn.REGEXEXTRACT(UAdd_Tests[[#This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core_BigInt.UAdd(_xlpm.limbs_a, _xlpm.limbs_b, _xlpm.k),
    _xlfn.ARRAYTOTEXT(_xlpm.output, 1)
)</f>
        <v>#VALUE!</v>
      </c>
      <c r="D123" s="9" t="b">
        <f>IF(ISERROR(UAdd_Tests[[#This Row],[expected]]),
    ERROR.TYPE(UAdd_Tests[[#This Row],[expected]]) = ERROR.TYPE(UAdd_Tests[[#This Row],[output]]),
    UAdd_Tests[[#This Row],[expected]] = UAdd_Tests[[#This Row],[output]]
)</f>
        <v>1</v>
      </c>
      <c r="E123" s="10" t="s">
        <v>103</v>
      </c>
    </row>
    <row r="124" spans="1:5" collapsed="1">
      <c r="A124" s="2"/>
      <c r="D124" t="b">
        <f>AND(UAdd_Tests[passing])</f>
        <v>1</v>
      </c>
    </row>
    <row r="125" spans="1:5" ht="15" thickBot="1"/>
    <row r="126" spans="1:5" ht="18.5">
      <c r="A126" s="5" t="s">
        <v>418</v>
      </c>
      <c r="B126" s="5"/>
      <c r="C126" s="5"/>
      <c r="D126" s="5"/>
      <c r="E126" s="5"/>
    </row>
    <row r="127" spans="1:5">
      <c r="A127" t="s">
        <v>110</v>
      </c>
      <c r="B127" t="s">
        <v>35</v>
      </c>
      <c r="C127" t="s">
        <v>36</v>
      </c>
      <c r="D127" s="6" t="s">
        <v>48</v>
      </c>
      <c r="E127" t="s">
        <v>37</v>
      </c>
    </row>
    <row r="128" spans="1:5" ht="29" hidden="1" outlineLevel="1">
      <c r="A128" s="12" t="s">
        <v>154</v>
      </c>
      <c r="B128" s="9">
        <v>0</v>
      </c>
      <c r="C128" s="9" cm="1">
        <f t="array" ref="C128">_xlfn.LET(
    _xlpm.abk, _xlfn.REGEXEXTRACT(UCompare_Tests[[#This Row],[input]], "=\s*\{?\K[\w,; .-]*", 1),
    _xlpm.a, INDEX(_xlpm.abk,1,1),
    _xlpm.b, INDEX(_xlpm.abk,1,2),
    _xlpm.limbs_a, --_xlfn.TEXTSPLIT(_xlpm.a,",",";"),
    _xlpm.limbs_b, --_xlfn.TEXTSPLIT(_xlpm.b,",",";"),
    core_BigInt.UCompare(_xlpm.limbs_a, _xlpm.limbs_b)
)</f>
        <v>0</v>
      </c>
      <c r="D128" s="9" t="b">
        <f>IF(ISERROR(UCompare_Tests[[#This Row],[expected]]),
    ERROR.TYPE(UCompare_Tests[[#This Row],[expected]]) = ERROR.TYPE(UCompare_Tests[[#This Row],[output]]),
    UCompare_Tests[[#This Row],[expected]] = UCompare_Tests[[#This Row],[output]]
)</f>
        <v>1</v>
      </c>
      <c r="E128" s="9" t="s">
        <v>111</v>
      </c>
    </row>
    <row r="129" spans="1:5" ht="29" hidden="1" outlineLevel="1">
      <c r="A129" s="12" t="s">
        <v>155</v>
      </c>
      <c r="B129" s="9">
        <v>1</v>
      </c>
      <c r="C129" s="9" cm="1">
        <f t="array" ref="C129">_xlfn.LET(
    _xlpm.abk, _xlfn.REGEXEXTRACT(UCompare_Tests[[#This Row],[input]], "=\s*\{?\K[\w,; .-]*", 1),
    _xlpm.a, INDEX(_xlpm.abk,1,1),
    _xlpm.b, INDEX(_xlpm.abk,1,2),
    _xlpm.limbs_a, --_xlfn.TEXTSPLIT(_xlpm.a,",",";"),
    _xlpm.limbs_b, --_xlfn.TEXTSPLIT(_xlpm.b,",",";"),
    core_BigInt.UCompare(_xlpm.limbs_a, _xlpm.limbs_b)
)</f>
        <v>1</v>
      </c>
      <c r="D129" s="9" t="b">
        <f>IF(ISERROR(UCompare_Tests[[#This Row],[expected]]),
    ERROR.TYPE(UCompare_Tests[[#This Row],[expected]]) = ERROR.TYPE(UCompare_Tests[[#This Row],[output]]),
    UCompare_Tests[[#This Row],[expected]] = UCompare_Tests[[#This Row],[output]]
)</f>
        <v>1</v>
      </c>
      <c r="E129" s="9" t="s">
        <v>117</v>
      </c>
    </row>
    <row r="130" spans="1:5" ht="29" hidden="1" outlineLevel="1">
      <c r="A130" s="12" t="s">
        <v>156</v>
      </c>
      <c r="B130" s="9">
        <v>-1</v>
      </c>
      <c r="C130" s="9" cm="1">
        <f t="array" ref="C130">_xlfn.LET(
    _xlpm.abk, _xlfn.REGEXEXTRACT(UCompare_Tests[[#This Row],[input]], "=\s*\{?\K[\w,; .-]*", 1),
    _xlpm.a, INDEX(_xlpm.abk,1,1),
    _xlpm.b, INDEX(_xlpm.abk,1,2),
    _xlpm.limbs_a, --_xlfn.TEXTSPLIT(_xlpm.a,",",";"),
    _xlpm.limbs_b, --_xlfn.TEXTSPLIT(_xlpm.b,",",";"),
    core_BigInt.UCompare(_xlpm.limbs_a, _xlpm.limbs_b)
)</f>
        <v>-1</v>
      </c>
      <c r="D130" s="9" t="b">
        <f>IF(ISERROR(UCompare_Tests[[#This Row],[expected]]),
    ERROR.TYPE(UCompare_Tests[[#This Row],[expected]]) = ERROR.TYPE(UCompare_Tests[[#This Row],[output]]),
    UCompare_Tests[[#This Row],[expected]] = UCompare_Tests[[#This Row],[output]]
)</f>
        <v>1</v>
      </c>
      <c r="E130" s="9" t="s">
        <v>116</v>
      </c>
    </row>
    <row r="131" spans="1:5" ht="29" hidden="1" outlineLevel="1">
      <c r="A131" s="12" t="s">
        <v>157</v>
      </c>
      <c r="B131" s="9">
        <v>1</v>
      </c>
      <c r="C131" s="9" cm="1">
        <f t="array" ref="C131">_xlfn.LET(
    _xlpm.abk, _xlfn.REGEXEXTRACT(UCompare_Tests[[#This Row],[input]], "=\s*\{?\K[\w,; .-]*", 1),
    _xlpm.a, INDEX(_xlpm.abk,1,1),
    _xlpm.b, INDEX(_xlpm.abk,1,2),
    _xlpm.limbs_a, --_xlfn.TEXTSPLIT(_xlpm.a,",",";"),
    _xlpm.limbs_b, --_xlfn.TEXTSPLIT(_xlpm.b,",",";"),
    core_BigInt.UCompare(_xlpm.limbs_a, _xlpm.limbs_b)
)</f>
        <v>1</v>
      </c>
      <c r="D131" s="9" t="b">
        <f>IF(ISERROR(UCompare_Tests[[#This Row],[expected]]),
    ERROR.TYPE(UCompare_Tests[[#This Row],[expected]]) = ERROR.TYPE(UCompare_Tests[[#This Row],[output]]),
    UCompare_Tests[[#This Row],[expected]] = UCompare_Tests[[#This Row],[output]]
)</f>
        <v>1</v>
      </c>
      <c r="E131" s="9" t="s">
        <v>115</v>
      </c>
    </row>
    <row r="132" spans="1:5" ht="29" hidden="1" outlineLevel="1">
      <c r="A132" s="12" t="s">
        <v>158</v>
      </c>
      <c r="B132" s="9">
        <v>1</v>
      </c>
      <c r="C132" s="9" cm="1">
        <f t="array" ref="C132">_xlfn.LET(
    _xlpm.abk, _xlfn.REGEXEXTRACT(UCompare_Tests[[#This Row],[input]], "=\s*\{?\K[\w,; .-]*", 1),
    _xlpm.a, INDEX(_xlpm.abk,1,1),
    _xlpm.b, INDEX(_xlpm.abk,1,2),
    _xlpm.limbs_a, --_xlfn.TEXTSPLIT(_xlpm.a,",",";"),
    _xlpm.limbs_b, --_xlfn.TEXTSPLIT(_xlpm.b,",",";"),
    core_BigInt.UCompare(_xlpm.limbs_a, _xlpm.limbs_b)
)</f>
        <v>1</v>
      </c>
      <c r="D132" s="9" t="b">
        <f>IF(ISERROR(UCompare_Tests[[#This Row],[expected]]),
    ERROR.TYPE(UCompare_Tests[[#This Row],[expected]]) = ERROR.TYPE(UCompare_Tests[[#This Row],[output]]),
    UCompare_Tests[[#This Row],[expected]] = UCompare_Tests[[#This Row],[output]]
)</f>
        <v>1</v>
      </c>
      <c r="E132" s="9" t="s">
        <v>114</v>
      </c>
    </row>
    <row r="133" spans="1:5" ht="29" hidden="1" outlineLevel="1">
      <c r="A133" s="12" t="s">
        <v>159</v>
      </c>
      <c r="B133" s="9">
        <v>-1</v>
      </c>
      <c r="C133" s="9" cm="1">
        <f t="array" ref="C133">_xlfn.LET(
    _xlpm.abk, _xlfn.REGEXEXTRACT(UCompare_Tests[[#This Row],[input]], "=\s*\{?\K[\w,; .-]*", 1),
    _xlpm.a, INDEX(_xlpm.abk,1,1),
    _xlpm.b, INDEX(_xlpm.abk,1,2),
    _xlpm.limbs_a, --_xlfn.TEXTSPLIT(_xlpm.a,",",";"),
    _xlpm.limbs_b, --_xlfn.TEXTSPLIT(_xlpm.b,",",";"),
    core_BigInt.UCompare(_xlpm.limbs_a, _xlpm.limbs_b)
)</f>
        <v>-1</v>
      </c>
      <c r="D133" s="9" t="b">
        <f>IF(ISERROR(UCompare_Tests[[#This Row],[expected]]),
    ERROR.TYPE(UCompare_Tests[[#This Row],[expected]]) = ERROR.TYPE(UCompare_Tests[[#This Row],[output]]),
    UCompare_Tests[[#This Row],[expected]] = UCompare_Tests[[#This Row],[output]]
)</f>
        <v>1</v>
      </c>
      <c r="E133" s="9" t="s">
        <v>113</v>
      </c>
    </row>
    <row r="134" spans="1:5" ht="29" hidden="1" outlineLevel="1">
      <c r="A134" s="12" t="s">
        <v>160</v>
      </c>
      <c r="B134" s="9">
        <v>0</v>
      </c>
      <c r="C134" s="9" cm="1">
        <f t="array" ref="C134">_xlfn.LET(
    _xlpm.abk, _xlfn.REGEXEXTRACT(UCompare_Tests[[#This Row],[input]], "=\s*\{?\K[\w,; .-]*", 1),
    _xlpm.a, INDEX(_xlpm.abk,1,1),
    _xlpm.b, INDEX(_xlpm.abk,1,2),
    _xlpm.limbs_a, --_xlfn.TEXTSPLIT(_xlpm.a,",",";"),
    _xlpm.limbs_b, --_xlfn.TEXTSPLIT(_xlpm.b,",",";"),
    core_BigInt.UCompare(_xlpm.limbs_a, _xlpm.limbs_b)
)</f>
        <v>0</v>
      </c>
      <c r="D134" s="9" t="b">
        <f>IF(ISERROR(UCompare_Tests[[#This Row],[expected]]),
    ERROR.TYPE(UCompare_Tests[[#This Row],[expected]]) = ERROR.TYPE(UCompare_Tests[[#This Row],[output]]),
    UCompare_Tests[[#This Row],[expected]] = UCompare_Tests[[#This Row],[output]]
)</f>
        <v>1</v>
      </c>
      <c r="E134" s="9" t="s">
        <v>112</v>
      </c>
    </row>
    <row r="135" spans="1:5" collapsed="1">
      <c r="D135" t="b">
        <f>AND(UCompare_Tests[passing])</f>
        <v>1</v>
      </c>
    </row>
    <row r="136" spans="1:5" ht="15" thickBot="1"/>
    <row r="137" spans="1:5" ht="18.5">
      <c r="A137" s="5" t="s">
        <v>419</v>
      </c>
      <c r="B137" s="5"/>
      <c r="C137" s="5"/>
      <c r="D137" s="5"/>
      <c r="E137" s="5"/>
    </row>
    <row r="138" spans="1:5">
      <c r="A138" t="s">
        <v>110</v>
      </c>
      <c r="B138" t="s">
        <v>35</v>
      </c>
      <c r="C138" t="s">
        <v>36</v>
      </c>
      <c r="D138" s="6" t="s">
        <v>48</v>
      </c>
      <c r="E138" t="s">
        <v>37</v>
      </c>
    </row>
    <row r="139" spans="1:5" ht="43.5" hidden="1" outlineLevel="1">
      <c r="A139" s="12" t="s">
        <v>147</v>
      </c>
      <c r="B139" s="9" t="s">
        <v>125</v>
      </c>
      <c r="C139" s="9" t="str" cm="1">
        <f t="array" ref="C139">_xlfn.LET(
    _xlpm.abk, _xlfn.REGEXEXTRACT(USub_Tests[[#This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core_BigInt.USub(_xlpm.limbs_a, _xlpm.limbs_b, _xlpm.k),
    _xlfn.ARRAYTOTEXT(_xlpm.output, 1)
)</f>
        <v>{3}</v>
      </c>
      <c r="D139" s="9" t="b">
        <f>IF(ISERROR(USub_Tests[[#This Row],[expected]]),
    ERROR.TYPE(USub_Tests[[#This Row],[expected]]) = ERROR.TYPE(USub_Tests[[#This Row],[output]]),
    USub_Tests[[#This Row],[expected]] = USub_Tests[[#This Row],[output]]
)</f>
        <v>1</v>
      </c>
      <c r="E139" s="9" t="s">
        <v>132</v>
      </c>
    </row>
    <row r="140" spans="1:5" ht="43.5" hidden="1" outlineLevel="1">
      <c r="A140" s="12" t="s">
        <v>148</v>
      </c>
      <c r="B140" s="9" t="s">
        <v>127</v>
      </c>
      <c r="C140" s="9" t="str" cm="1">
        <f t="array" ref="C140">_xlfn.LET(
    _xlpm.abk, _xlfn.REGEXEXTRACT(USub_Tests[[#This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core_BigInt.USub(_xlpm.limbs_a, _xlpm.limbs_b, _xlpm.k),
    _xlfn.ARRAYTOTEXT(_xlpm.output, 1)
)</f>
        <v>{5;1}</v>
      </c>
      <c r="D140" s="9" t="b">
        <f>IF(ISERROR(USub_Tests[[#This Row],[expected]]),
    ERROR.TYPE(USub_Tests[[#This Row],[expected]]) = ERROR.TYPE(USub_Tests[[#This Row],[output]]),
    USub_Tests[[#This Row],[expected]] = USub_Tests[[#This Row],[output]]
)</f>
        <v>1</v>
      </c>
      <c r="E140" s="9" t="s">
        <v>136</v>
      </c>
    </row>
    <row r="141" spans="1:5" ht="43.5" hidden="1" outlineLevel="1">
      <c r="A141" s="12" t="s">
        <v>149</v>
      </c>
      <c r="B141" s="9" t="s">
        <v>128</v>
      </c>
      <c r="C141" s="9" t="str" cm="1">
        <f t="array" ref="C141">_xlfn.LET(
    _xlpm.abk, _xlfn.REGEXEXTRACT(USub_Tests[[#This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core_BigInt.USub(_xlpm.limbs_a, _xlpm.limbs_b, _xlpm.k),
    _xlfn.ARRAYTOTEXT(_xlpm.output, 1)
)</f>
        <v>{9;9}</v>
      </c>
      <c r="D141" s="9" t="b">
        <f>IF(ISERROR(USub_Tests[[#This Row],[expected]]),
    ERROR.TYPE(USub_Tests[[#This Row],[expected]]) = ERROR.TYPE(USub_Tests[[#This Row],[output]]),
    USub_Tests[[#This Row],[expected]] = USub_Tests[[#This Row],[output]]
)</f>
        <v>1</v>
      </c>
      <c r="E141" s="9" t="s">
        <v>135</v>
      </c>
    </row>
    <row r="142" spans="1:5" ht="43.5" hidden="1" outlineLevel="1">
      <c r="A142" s="12" t="s">
        <v>150</v>
      </c>
      <c r="B142" s="9" t="s">
        <v>126</v>
      </c>
      <c r="C142" s="9" t="str" cm="1">
        <f t="array" ref="C142">_xlfn.LET(
    _xlpm.abk, _xlfn.REGEXEXTRACT(USub_Tests[[#This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core_BigInt.USub(_xlpm.limbs_a, _xlpm.limbs_b, _xlpm.k),
    _xlfn.ARRAYTOTEXT(_xlpm.output, 1)
)</f>
        <v>{0}</v>
      </c>
      <c r="D142" s="9" t="b">
        <f>IF(ISERROR(USub_Tests[[#This Row],[expected]]),
    ERROR.TYPE(USub_Tests[[#This Row],[expected]]) = ERROR.TYPE(USub_Tests[[#This Row],[output]]),
    USub_Tests[[#This Row],[expected]] = USub_Tests[[#This Row],[output]]
)</f>
        <v>1</v>
      </c>
      <c r="E142" s="9" t="s">
        <v>133</v>
      </c>
    </row>
    <row r="143" spans="1:5" ht="43.5" hidden="1" outlineLevel="1">
      <c r="A143" s="12" t="s">
        <v>151</v>
      </c>
      <c r="B143" s="9" t="s">
        <v>129</v>
      </c>
      <c r="C143" s="9" t="str" cm="1">
        <f t="array" ref="C143">_xlfn.LET(
    _xlpm.abk, _xlfn.REGEXEXTRACT(USub_Tests[[#This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core_BigInt.USub(_xlpm.limbs_a, _xlpm.limbs_b, _xlpm.k),
    _xlfn.ARRAYTOTEXT(_xlpm.output, 1)
)</f>
        <v>{2}</v>
      </c>
      <c r="D143" s="9" t="b">
        <f>IF(ISERROR(USub_Tests[[#This Row],[expected]]),
    ERROR.TYPE(USub_Tests[[#This Row],[expected]]) = ERROR.TYPE(USub_Tests[[#This Row],[output]]),
    USub_Tests[[#This Row],[expected]] = USub_Tests[[#This Row],[output]]
)</f>
        <v>1</v>
      </c>
      <c r="E143" s="9" t="s">
        <v>134</v>
      </c>
    </row>
    <row r="144" spans="1:5" ht="43.5" hidden="1" outlineLevel="1">
      <c r="A144" s="12" t="s">
        <v>152</v>
      </c>
      <c r="B144" s="9" t="s">
        <v>130</v>
      </c>
      <c r="C144" s="9" t="str" cm="1">
        <f t="array" ref="C144">_xlfn.LET(
    _xlpm.abk, _xlfn.REGEXEXTRACT(USub_Tests[[#This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core_BigInt.USub(_xlpm.limbs_a, _xlpm.limbs_b, _xlpm.k),
    _xlfn.ARRAYTOTEXT(_xlpm.output, 1)
)</f>
        <v>{9}</v>
      </c>
      <c r="D144" s="9" t="b">
        <f>IF(ISERROR(USub_Tests[[#This Row],[expected]]),
    ERROR.TYPE(USub_Tests[[#This Row],[expected]]) = ERROR.TYPE(USub_Tests[[#This Row],[output]]),
    USub_Tests[[#This Row],[expected]] = USub_Tests[[#This Row],[output]]
)</f>
        <v>1</v>
      </c>
      <c r="E144" s="9" t="s">
        <v>137</v>
      </c>
    </row>
    <row r="145" spans="1:5" ht="43.5" hidden="1" outlineLevel="1">
      <c r="A145" s="12" t="s">
        <v>153</v>
      </c>
      <c r="B145" s="9" t="s">
        <v>131</v>
      </c>
      <c r="C145" s="9" t="str" cm="1">
        <f t="array" ref="C145">_xlfn.LET(
    _xlpm.abk, _xlfn.REGEXEXTRACT(USub_Tests[[#This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core_BigInt.USub(_xlpm.limbs_a, _xlpm.limbs_b, _xlpm.k),
    _xlfn.ARRAYTOTEXT(_xlpm.output, 1)
)</f>
        <v>{90}</v>
      </c>
      <c r="D145" s="9" t="b">
        <f>IF(ISERROR(USub_Tests[[#This Row],[expected]]),
    ERROR.TYPE(USub_Tests[[#This Row],[expected]]) = ERROR.TYPE(USub_Tests[[#This Row],[output]]),
    USub_Tests[[#This Row],[expected]] = USub_Tests[[#This Row],[output]]
)</f>
        <v>1</v>
      </c>
      <c r="E145" s="9" t="s">
        <v>214</v>
      </c>
    </row>
    <row r="146" spans="1:5" collapsed="1">
      <c r="D146" t="b">
        <f>AND(USub_Tests[passing])</f>
        <v>1</v>
      </c>
    </row>
    <row r="147" spans="1:5" ht="15" thickBot="1"/>
    <row r="148" spans="1:5" ht="18.5">
      <c r="A148" s="5" t="s">
        <v>420</v>
      </c>
      <c r="B148" s="5"/>
      <c r="C148" s="5"/>
      <c r="D148" s="5"/>
      <c r="E148" s="5"/>
    </row>
    <row r="149" spans="1:5">
      <c r="A149" t="s">
        <v>110</v>
      </c>
      <c r="B149" t="s">
        <v>35</v>
      </c>
      <c r="C149" t="s">
        <v>36</v>
      </c>
      <c r="D149" s="6" t="s">
        <v>48</v>
      </c>
      <c r="E149" t="s">
        <v>37</v>
      </c>
    </row>
    <row r="150" spans="1:5" ht="72.5" hidden="1" outlineLevel="1">
      <c r="A150" s="12" t="s">
        <v>185</v>
      </c>
      <c r="B150" s="9" t="s">
        <v>190</v>
      </c>
      <c r="C150" s="9" t="str" cm="1">
        <f t="array" ref="C150">_xlfn.LET(
    _xlpm.input, _xlfn.REGEXEXTRACT(Table6[[#This Row],[input]], "=\s*\{?\K[\w,; .-]*", 1),
    _xlpm.a, INDEX(_xlpm.input,1,1),
    _xlpm.b, INDEX(_xlpm.input,1,2),
    _xlpm.sign_a, --INDEX(_xlpm.input,1,3),
    _xlpm.sign_b, --INDEX(_xlpm.input,1,4),
    _xlpm.k, --INDEX(_xlpm.input,1,5),
    _xlpm.limbs_a, --_xlfn.TEXTSPLIT(_xlpm.a,",",";"),
    _xlpm.limbs_b, --_xlfn.TEXTSPLIT(_xlpm.b,",",";"),
    _xlpm.output, core_BigInt.AddSubRouter(_xlpm.limbs_a, _xlpm.limbs_b, _xlpm.sign_a, _xlpm.sign_b, _xlpm.k),
    _xlfn.ARRAYTOTEXT(_xlpm.output, 1)
)</f>
        <v>{8;1}</v>
      </c>
      <c r="D150" s="9" t="b">
        <f>IF(ISERROR(Table6[[#This Row],[expected]]),
    ERROR.TYPE(Table6[[#This Row],[expected]]) = ERROR.TYPE(Table6[[#This Row],[output]]),
    Table6[[#This Row],[expected]] = Table6[[#This Row],[output]]
)</f>
        <v>1</v>
      </c>
      <c r="E150" s="9" t="s">
        <v>204</v>
      </c>
    </row>
    <row r="151" spans="1:5" ht="72.5" hidden="1" outlineLevel="1">
      <c r="A151" s="12" t="s">
        <v>186</v>
      </c>
      <c r="B151" s="9" t="s">
        <v>191</v>
      </c>
      <c r="C151" s="9" t="str" cm="1">
        <f t="array" ref="C151">_xlfn.LET(
    _xlpm.input, _xlfn.REGEXEXTRACT(Table6[[#This Row],[input]], "=\s*\{?\K[\w,; .-]*", 1),
    _xlpm.a, INDEX(_xlpm.input,1,1),
    _xlpm.b, INDEX(_xlpm.input,1,2),
    _xlpm.sign_a, --INDEX(_xlpm.input,1,3),
    _xlpm.sign_b, --INDEX(_xlpm.input,1,4),
    _xlpm.k, --INDEX(_xlpm.input,1,5),
    _xlpm.limbs_a, --_xlfn.TEXTSPLIT(_xlpm.a,",",";"),
    _xlpm.limbs_b, --_xlfn.TEXTSPLIT(_xlpm.b,",",";"),
    _xlpm.output, core_BigInt.AddSubRouter(_xlpm.limbs_a, _xlpm.limbs_b, _xlpm.sign_a, _xlpm.sign_b, _xlpm.k),
    _xlfn.ARRAYTOTEXT(_xlpm.output, 1)
)</f>
        <v>{8;-1}</v>
      </c>
      <c r="D151" s="9" t="b">
        <f>IF(ISERROR(Table6[[#This Row],[expected]]),
    ERROR.TYPE(Table6[[#This Row],[expected]]) = ERROR.TYPE(Table6[[#This Row],[output]]),
    Table6[[#This Row],[expected]] = Table6[[#This Row],[output]]
)</f>
        <v>1</v>
      </c>
      <c r="E151" s="9" t="s">
        <v>205</v>
      </c>
    </row>
    <row r="152" spans="1:5" ht="72.5" hidden="1" outlineLevel="1">
      <c r="A152" s="12" t="s">
        <v>187</v>
      </c>
      <c r="B152" s="9" t="s">
        <v>192</v>
      </c>
      <c r="C152" s="9" t="str" cm="1">
        <f t="array" ref="C152">_xlfn.LET(
    _xlpm.input, _xlfn.REGEXEXTRACT(Table6[[#This Row],[input]], "=\s*\{?\K[\w,; .-]*", 1),
    _xlpm.a, INDEX(_xlpm.input,1,1),
    _xlpm.b, INDEX(_xlpm.input,1,2),
    _xlpm.sign_a, --INDEX(_xlpm.input,1,3),
    _xlpm.sign_b, --INDEX(_xlpm.input,1,4),
    _xlpm.k, --INDEX(_xlpm.input,1,5),
    _xlpm.limbs_a, --_xlfn.TEXTSPLIT(_xlpm.a,",",";"),
    _xlpm.limbs_b, --_xlfn.TEXTSPLIT(_xlpm.b,",",";"),
    _xlpm.output, core_BigInt.AddSubRouter(_xlpm.limbs_a, _xlpm.limbs_b, _xlpm.sign_a, _xlpm.sign_b, _xlpm.k),
    _xlfn.ARRAYTOTEXT(_xlpm.output, 1)
)</f>
        <v>{2;1}</v>
      </c>
      <c r="D152" s="9" t="b">
        <f>IF(ISERROR(Table6[[#This Row],[expected]]),
    ERROR.TYPE(Table6[[#This Row],[expected]]) = ERROR.TYPE(Table6[[#This Row],[output]]),
    Table6[[#This Row],[expected]] = Table6[[#This Row],[output]]
)</f>
        <v>1</v>
      </c>
      <c r="E152" s="9" t="s">
        <v>206</v>
      </c>
    </row>
    <row r="153" spans="1:5" ht="72.5" hidden="1" outlineLevel="1">
      <c r="A153" s="12" t="s">
        <v>188</v>
      </c>
      <c r="B153" s="9" t="s">
        <v>193</v>
      </c>
      <c r="C153" s="9" t="str" cm="1">
        <f t="array" ref="C153">_xlfn.LET(
    _xlpm.input, _xlfn.REGEXEXTRACT(Table6[[#This Row],[input]], "=\s*\{?\K[\w,; .-]*", 1),
    _xlpm.a, INDEX(_xlpm.input,1,1),
    _xlpm.b, INDEX(_xlpm.input,1,2),
    _xlpm.sign_a, --INDEX(_xlpm.input,1,3),
    _xlpm.sign_b, --INDEX(_xlpm.input,1,4),
    _xlpm.k, --INDEX(_xlpm.input,1,5),
    _xlpm.limbs_a, --_xlfn.TEXTSPLIT(_xlpm.a,",",";"),
    _xlpm.limbs_b, --_xlfn.TEXTSPLIT(_xlpm.b,",",";"),
    _xlpm.output, core_BigInt.AddSubRouter(_xlpm.limbs_a, _xlpm.limbs_b, _xlpm.sign_a, _xlpm.sign_b, _xlpm.k),
    _xlfn.ARRAYTOTEXT(_xlpm.output, 1)
)</f>
        <v>{2;-1}</v>
      </c>
      <c r="D153" s="9" t="b">
        <f>IF(ISERROR(Table6[[#This Row],[expected]]),
    ERROR.TYPE(Table6[[#This Row],[expected]]) = ERROR.TYPE(Table6[[#This Row],[output]]),
    Table6[[#This Row],[expected]] = Table6[[#This Row],[output]]
)</f>
        <v>1</v>
      </c>
      <c r="E153" s="9" t="s">
        <v>207</v>
      </c>
    </row>
    <row r="154" spans="1:5" ht="72.5" hidden="1" outlineLevel="1">
      <c r="A154" s="12" t="s">
        <v>189</v>
      </c>
      <c r="B154" s="9" t="s">
        <v>194</v>
      </c>
      <c r="C154" s="9" t="str" cm="1">
        <f t="array" ref="C154">_xlfn.LET(
    _xlpm.input, _xlfn.REGEXEXTRACT(Table6[[#This Row],[input]], "=\s*\{?\K[\w,; .-]*", 1),
    _xlpm.a, INDEX(_xlpm.input,1,1),
    _xlpm.b, INDEX(_xlpm.input,1,2),
    _xlpm.sign_a, --INDEX(_xlpm.input,1,3),
    _xlpm.sign_b, --INDEX(_xlpm.input,1,4),
    _xlpm.k, --INDEX(_xlpm.input,1,5),
    _xlpm.limbs_a, --_xlfn.TEXTSPLIT(_xlpm.a,",",";"),
    _xlpm.limbs_b, --_xlfn.TEXTSPLIT(_xlpm.b,",",";"),
    _xlpm.output, core_BigInt.AddSubRouter(_xlpm.limbs_a, _xlpm.limbs_b, _xlpm.sign_a, _xlpm.sign_b, _xlpm.k),
    _xlfn.ARRAYTOTEXT(_xlpm.output, 1)
)</f>
        <v>{0;0}</v>
      </c>
      <c r="D154" s="9" t="b">
        <f>IF(ISERROR(Table6[[#This Row],[expected]]),
    ERROR.TYPE(Table6[[#This Row],[expected]]) = ERROR.TYPE(Table6[[#This Row],[output]]),
    Table6[[#This Row],[expected]] = Table6[[#This Row],[output]]
)</f>
        <v>1</v>
      </c>
      <c r="E154" s="9" t="s">
        <v>208</v>
      </c>
    </row>
    <row r="155" spans="1:5" ht="72.5" hidden="1" outlineLevel="1">
      <c r="A155" s="12" t="s">
        <v>199</v>
      </c>
      <c r="B155" s="9" t="s">
        <v>195</v>
      </c>
      <c r="C155" s="9" t="str" cm="1">
        <f t="array" ref="C155">_xlfn.LET(
    _xlpm.input, _xlfn.REGEXEXTRACT(Table6[[#This Row],[input]], "=\s*\{?\K[\w,; .-]*", 1),
    _xlpm.a, INDEX(_xlpm.input,1,1),
    _xlpm.b, INDEX(_xlpm.input,1,2),
    _xlpm.sign_a, --INDEX(_xlpm.input,1,3),
    _xlpm.sign_b, --INDEX(_xlpm.input,1,4),
    _xlpm.k, --INDEX(_xlpm.input,1,5),
    _xlpm.limbs_a, --_xlfn.TEXTSPLIT(_xlpm.a,",",";"),
    _xlpm.limbs_b, --_xlfn.TEXTSPLIT(_xlpm.b,",",";"),
    _xlpm.output, core_BigInt.AddSubRouter(_xlpm.limbs_a, _xlpm.limbs_b, _xlpm.sign_a, _xlpm.sign_b, _xlpm.k),
    _xlfn.ARRAYTOTEXT(_xlpm.output, 1)
)</f>
        <v>{4;1}</v>
      </c>
      <c r="D155" s="9" t="b">
        <f>IF(ISERROR(Table6[[#This Row],[expected]]),
    ERROR.TYPE(Table6[[#This Row],[expected]]) = ERROR.TYPE(Table6[[#This Row],[output]]),
    Table6[[#This Row],[expected]] = Table6[[#This Row],[output]]
)</f>
        <v>1</v>
      </c>
      <c r="E155" s="9" t="s">
        <v>209</v>
      </c>
    </row>
    <row r="156" spans="1:5" ht="72.5" hidden="1" outlineLevel="1">
      <c r="A156" s="12" t="s">
        <v>200</v>
      </c>
      <c r="B156" s="9" t="s">
        <v>196</v>
      </c>
      <c r="C156" s="9" t="str" cm="1">
        <f t="array" ref="C156">_xlfn.LET(
    _xlpm.input, _xlfn.REGEXEXTRACT(Table6[[#This Row],[input]], "=\s*\{?\K[\w,; .-]*", 1),
    _xlpm.a, INDEX(_xlpm.input,1,1),
    _xlpm.b, INDEX(_xlpm.input,1,2),
    _xlpm.sign_a, --INDEX(_xlpm.input,1,3),
    _xlpm.sign_b, --INDEX(_xlpm.input,1,4),
    _xlpm.k, --INDEX(_xlpm.input,1,5),
    _xlpm.limbs_a, --_xlfn.TEXTSPLIT(_xlpm.a,",",";"),
    _xlpm.limbs_b, --_xlfn.TEXTSPLIT(_xlpm.b,",",";"),
    _xlpm.output, core_BigInt.AddSubRouter(_xlpm.limbs_a, _xlpm.limbs_b, _xlpm.sign_a, _xlpm.sign_b, _xlpm.k),
    _xlfn.ARRAYTOTEXT(_xlpm.output, 1)
)</f>
        <v>{4;-1}</v>
      </c>
      <c r="D156" s="9" t="b">
        <f>IF(ISERROR(Table6[[#This Row],[expected]]),
    ERROR.TYPE(Table6[[#This Row],[expected]]) = ERROR.TYPE(Table6[[#This Row],[output]]),
    Table6[[#This Row],[expected]] = Table6[[#This Row],[output]]
)</f>
        <v>1</v>
      </c>
      <c r="E156" s="9" t="s">
        <v>211</v>
      </c>
    </row>
    <row r="157" spans="1:5" ht="72.5" hidden="1" outlineLevel="1">
      <c r="A157" s="12" t="s">
        <v>201</v>
      </c>
      <c r="B157" s="9" t="s">
        <v>194</v>
      </c>
      <c r="C157" s="9" t="str" cm="1">
        <f t="array" ref="C157">_xlfn.LET(
    _xlpm.input, _xlfn.REGEXEXTRACT(Table6[[#This Row],[input]], "=\s*\{?\K[\w,; .-]*", 1),
    _xlpm.a, INDEX(_xlpm.input,1,1),
    _xlpm.b, INDEX(_xlpm.input,1,2),
    _xlpm.sign_a, --INDEX(_xlpm.input,1,3),
    _xlpm.sign_b, --INDEX(_xlpm.input,1,4),
    _xlpm.k, --INDEX(_xlpm.input,1,5),
    _xlpm.limbs_a, --_xlfn.TEXTSPLIT(_xlpm.a,",",";"),
    _xlpm.limbs_b, --_xlfn.TEXTSPLIT(_xlpm.b,",",";"),
    _xlpm.output, core_BigInt.AddSubRouter(_xlpm.limbs_a, _xlpm.limbs_b, _xlpm.sign_a, _xlpm.sign_b, _xlpm.k),
    _xlfn.ARRAYTOTEXT(_xlpm.output, 1)
)</f>
        <v>{0;0}</v>
      </c>
      <c r="D157" s="9" t="b">
        <f>IF(ISERROR(Table6[[#This Row],[expected]]),
    ERROR.TYPE(Table6[[#This Row],[expected]]) = ERROR.TYPE(Table6[[#This Row],[output]]),
    Table6[[#This Row],[expected]] = Table6[[#This Row],[output]]
)</f>
        <v>1</v>
      </c>
      <c r="E157" s="9" t="s">
        <v>210</v>
      </c>
    </row>
    <row r="158" spans="1:5" ht="72.5" hidden="1" outlineLevel="1">
      <c r="A158" s="12" t="s">
        <v>202</v>
      </c>
      <c r="B158" s="9" t="s">
        <v>197</v>
      </c>
      <c r="C158" s="9" t="str" cm="1">
        <f t="array" ref="C158">_xlfn.LET(
    _xlpm.input, _xlfn.REGEXEXTRACT(Table6[[#This Row],[input]], "=\s*\{?\K[\w,; .-]*", 1),
    _xlpm.a, INDEX(_xlpm.input,1,1),
    _xlpm.b, INDEX(_xlpm.input,1,2),
    _xlpm.sign_a, --INDEX(_xlpm.input,1,3),
    _xlpm.sign_b, --INDEX(_xlpm.input,1,4),
    _xlpm.k, --INDEX(_xlpm.input,1,5),
    _xlpm.limbs_a, --_xlfn.TEXTSPLIT(_xlpm.a,",",";"),
    _xlpm.limbs_b, --_xlfn.TEXTSPLIT(_xlpm.b,",",";"),
    _xlpm.output, core_BigInt.AddSubRouter(_xlpm.limbs_a, _xlpm.limbs_b, _xlpm.sign_a, _xlpm.sign_b, _xlpm.k),
    _xlfn.ARRAYTOTEXT(_xlpm.output, 1)
)</f>
        <v>{5;2;-1}</v>
      </c>
      <c r="D158" s="9" t="b">
        <f>IF(ISERROR(Table6[[#This Row],[expected]]),
    ERROR.TYPE(Table6[[#This Row],[expected]]) = ERROR.TYPE(Table6[[#This Row],[output]]),
    Table6[[#This Row],[expected]] = Table6[[#This Row],[output]]
)</f>
        <v>1</v>
      </c>
      <c r="E158" s="9" t="s">
        <v>212</v>
      </c>
    </row>
    <row r="159" spans="1:5" ht="72.5" hidden="1" outlineLevel="1">
      <c r="A159" s="12" t="s">
        <v>203</v>
      </c>
      <c r="B159" s="9" t="s">
        <v>198</v>
      </c>
      <c r="C159" s="9" t="str" cm="1">
        <f t="array" ref="C159">_xlfn.LET(
    _xlpm.input, _xlfn.REGEXEXTRACT(Table6[[#This Row],[input]], "=\s*\{?\K[\w,; .-]*", 1),
    _xlpm.a, INDEX(_xlpm.input,1,1),
    _xlpm.b, INDEX(_xlpm.input,1,2),
    _xlpm.sign_a, --INDEX(_xlpm.input,1,3),
    _xlpm.sign_b, --INDEX(_xlpm.input,1,4),
    _xlpm.k, --INDEX(_xlpm.input,1,5),
    _xlpm.limbs_a, --_xlfn.TEXTSPLIT(_xlpm.a,",",";"),
    _xlpm.limbs_b, --_xlfn.TEXTSPLIT(_xlpm.b,",",";"),
    _xlpm.output, core_BigInt.AddSubRouter(_xlpm.limbs_a, _xlpm.limbs_b, _xlpm.sign_a, _xlpm.sign_b, _xlpm.k),
    _xlfn.ARRAYTOTEXT(_xlpm.output, 1)
)</f>
        <v>{0;9;1;1}</v>
      </c>
      <c r="D159" s="9" t="b">
        <f>IF(ISERROR(Table6[[#This Row],[expected]]),
    ERROR.TYPE(Table6[[#This Row],[expected]]) = ERROR.TYPE(Table6[[#This Row],[output]]),
    Table6[[#This Row],[expected]] = Table6[[#This Row],[output]]
)</f>
        <v>1</v>
      </c>
      <c r="E159" s="9" t="s">
        <v>213</v>
      </c>
    </row>
    <row r="160" spans="1:5" collapsed="1">
      <c r="A160" s="11"/>
      <c r="D160" s="9" t="b">
        <f>AND(Table6[passing])</f>
        <v>1</v>
      </c>
    </row>
    <row r="161" spans="1:5" ht="15" thickBot="1"/>
    <row r="162" spans="1:5" ht="18.5">
      <c r="A162" s="5" t="s">
        <v>432</v>
      </c>
      <c r="B162" s="5"/>
      <c r="C162" s="5"/>
      <c r="D162" s="5"/>
      <c r="E162" s="5"/>
    </row>
    <row r="163" spans="1:5">
      <c r="A163" t="s">
        <v>110</v>
      </c>
      <c r="B163" t="s">
        <v>35</v>
      </c>
      <c r="C163" t="s">
        <v>36</v>
      </c>
      <c r="D163" s="6" t="s">
        <v>48</v>
      </c>
      <c r="E163" t="s">
        <v>37</v>
      </c>
    </row>
    <row r="164" spans="1:5" ht="29" hidden="1" outlineLevel="1">
      <c r="A164" s="12" t="s">
        <v>226</v>
      </c>
      <c r="B164" s="8" t="s">
        <v>223</v>
      </c>
      <c r="C164" s="8" t="str" cm="1">
        <f t="array" ref="C164">_xlfn.LET(
    _xlpm.ab, _xlfn.REGEXEXTRACT(Add_Tests[[#This Row],[input]], "=\s*\{?\K[\w,; .-]*", 1),
    _xlpm.a, INDEX(_xlpm.ab,1,1),
    _xlpm.b, INDEX(_xlpm.ab,1,2),
    BigInt.Add(_xlpm.a, _xlpm.b)
)</f>
        <v>579</v>
      </c>
      <c r="D164" s="9" t="b">
        <f>IF(ISERROR(Add_Tests[[#This Row],[expected]]),
    ERROR.TYPE(Add_Tests[[#This Row],[expected]]) = ERROR.TYPE(Add_Tests[[#This Row],[output]]),
    Add_Tests[[#This Row],[expected]] = Add_Tests[[#This Row],[output]]
)</f>
        <v>1</v>
      </c>
      <c r="E164" s="9" t="s">
        <v>215</v>
      </c>
    </row>
    <row r="165" spans="1:5" ht="29" hidden="1" outlineLevel="1">
      <c r="A165" s="12" t="s">
        <v>227</v>
      </c>
      <c r="B165" s="8" t="s">
        <v>224</v>
      </c>
      <c r="C165" s="8" t="str" cm="1">
        <f t="array" ref="C165">_xlfn.LET(
    _xlpm.ab, _xlfn.REGEXEXTRACT(Add_Tests[[#This Row],[input]], "=\s*\{?\K[\w,; .-]*", 1),
    _xlpm.a, INDEX(_xlpm.ab,1,1),
    _xlpm.b, INDEX(_xlpm.ab,1,2),
    BigInt.Add(_xlpm.a, _xlpm.b)
)</f>
        <v>-50</v>
      </c>
      <c r="D165" s="9" t="b">
        <f>IF(ISERROR(Add_Tests[[#This Row],[expected]]),
    ERROR.TYPE(Add_Tests[[#This Row],[expected]]) = ERROR.TYPE(Add_Tests[[#This Row],[output]]),
    Add_Tests[[#This Row],[expected]] = Add_Tests[[#This Row],[output]]
)</f>
        <v>1</v>
      </c>
      <c r="E165" s="9" t="s">
        <v>216</v>
      </c>
    </row>
    <row r="166" spans="1:5" ht="29" hidden="1" outlineLevel="1">
      <c r="A166" s="12" t="s">
        <v>228</v>
      </c>
      <c r="B166" s="8" t="s">
        <v>225</v>
      </c>
      <c r="C166" s="8" t="str" cm="1">
        <f t="array" ref="C166">_xlfn.LET(
    _xlpm.ab, _xlfn.REGEXEXTRACT(Add_Tests[[#This Row],[input]], "=\s*\{?\K[\w,; .-]*", 1),
    _xlpm.a, INDEX(_xlpm.ab,1,1),
    _xlpm.b, INDEX(_xlpm.ab,1,2),
    BigInt.Add(_xlpm.a, _xlpm.b)
)</f>
        <v>1000000000000000</v>
      </c>
      <c r="D166" s="9" t="b">
        <f>IF(ISERROR(Add_Tests[[#This Row],[expected]]),
    ERROR.TYPE(Add_Tests[[#This Row],[expected]]) = ERROR.TYPE(Add_Tests[[#This Row],[output]]),
    Add_Tests[[#This Row],[expected]] = Add_Tests[[#This Row],[output]]
)</f>
        <v>1</v>
      </c>
      <c r="E166" s="9" t="s">
        <v>217</v>
      </c>
    </row>
    <row r="167" spans="1:5" ht="29" hidden="1" outlineLevel="1">
      <c r="A167" s="12" t="s">
        <v>229</v>
      </c>
      <c r="B167" s="8" t="s">
        <v>4</v>
      </c>
      <c r="C167" s="8" t="str" cm="1">
        <f t="array" ref="C167">_xlfn.LET(
    _xlpm.ab, _xlfn.REGEXEXTRACT(Add_Tests[[#This Row],[input]], "=\s*\{?\K[\w,; .-]*", 1),
    _xlpm.a, INDEX(_xlpm.ab,1,1),
    _xlpm.b, INDEX(_xlpm.ab,1,2),
    BigInt.Add(_xlpm.a, _xlpm.b)
)</f>
        <v>0</v>
      </c>
      <c r="D167" s="9" t="b">
        <f>IF(ISERROR(Add_Tests[[#This Row],[expected]]),
    ERROR.TYPE(Add_Tests[[#This Row],[expected]]) = ERROR.TYPE(Add_Tests[[#This Row],[output]]),
    Add_Tests[[#This Row],[expected]] = Add_Tests[[#This Row],[output]]
)</f>
        <v>1</v>
      </c>
      <c r="E167" s="9" t="s">
        <v>218</v>
      </c>
    </row>
    <row r="168" spans="1:5" ht="29" hidden="1" outlineLevel="1">
      <c r="A168" s="12" t="s">
        <v>230</v>
      </c>
      <c r="B168" s="9" t="e">
        <v>#VALUE!</v>
      </c>
      <c r="C168" s="9" t="e" cm="1">
        <f t="array" ref="C168">_xlfn.LET(
    _xlpm.ab, _xlfn.REGEXEXTRACT(Add_Tests[[#This Row],[input]], "=\s*\{?\K[\w,; .-]*", 1),
    _xlpm.a, INDEX(_xlpm.ab,1,1),
    _xlpm.b, INDEX(_xlpm.ab,1,2),
    BigInt.Add(_xlpm.a, _xlpm.b)
)</f>
        <v>#VALUE!</v>
      </c>
      <c r="D168" s="9" t="b">
        <f>IF(ISERROR(Add_Tests[[#This Row],[expected]]),
    ERROR.TYPE(Add_Tests[[#This Row],[expected]]) = ERROR.TYPE(Add_Tests[[#This Row],[output]]),
    Add_Tests[[#This Row],[expected]] = Add_Tests[[#This Row],[output]]
)</f>
        <v>1</v>
      </c>
      <c r="E168" s="9" t="s">
        <v>219</v>
      </c>
    </row>
    <row r="169" spans="1:5" collapsed="1">
      <c r="D169" s="9" t="b">
        <f>AND(Add_Tests[passing])</f>
        <v>1</v>
      </c>
    </row>
    <row r="170" spans="1:5" ht="15" thickBot="1"/>
    <row r="171" spans="1:5" ht="18.5">
      <c r="A171" s="5" t="s">
        <v>433</v>
      </c>
      <c r="B171" s="5"/>
      <c r="C171" s="5"/>
      <c r="D171" s="5"/>
      <c r="E171" s="5"/>
    </row>
    <row r="172" spans="1:5">
      <c r="A172" t="s">
        <v>110</v>
      </c>
      <c r="B172" t="s">
        <v>35</v>
      </c>
      <c r="C172" t="s">
        <v>36</v>
      </c>
      <c r="D172" s="6" t="s">
        <v>48</v>
      </c>
      <c r="E172" t="s">
        <v>37</v>
      </c>
    </row>
    <row r="173" spans="1:5" ht="29" hidden="1" outlineLevel="1">
      <c r="A173" s="12" t="s">
        <v>231</v>
      </c>
      <c r="B173" s="8" t="s">
        <v>234</v>
      </c>
      <c r="C173" s="9" t="str" cm="1">
        <f t="array" ref="C173">_xlfn.LET(
    _xlpm.ab, _xlfn.REGEXEXTRACT(Sub_Tests[[#This Row],[input]], "=\s*\{?\K[\w,; .-]*", 1),
    _xlpm.a, INDEX(_xlpm.ab,1,1),
    _xlpm.b, INDEX(_xlpm.ab,1,2),
    BigInt.Sub(_xlpm.a, _xlpm.b)
)</f>
        <v>30</v>
      </c>
      <c r="D173" s="9" t="b">
        <f>IF(ISERROR(Sub_Tests[[#This Row],[expected]]),
    ERROR.TYPE(Sub_Tests[[#This Row],[expected]]) = ERROR.TYPE(Sub_Tests[[#This Row],[output]]),
    Sub_Tests[[#This Row],[expected]] = Sub_Tests[[#This Row],[output]]
)</f>
        <v>1</v>
      </c>
      <c r="E173" s="9" t="s">
        <v>220</v>
      </c>
    </row>
    <row r="174" spans="1:5" ht="29" hidden="1" outlineLevel="1">
      <c r="A174" s="12" t="s">
        <v>232</v>
      </c>
      <c r="B174" s="8" t="s">
        <v>235</v>
      </c>
      <c r="C174" s="9" t="str" cm="1">
        <f t="array" ref="C174">_xlfn.LET(
    _xlpm.ab, _xlfn.REGEXEXTRACT(Sub_Tests[[#This Row],[input]], "=\s*\{?\K[\w,; .-]*", 1),
    _xlpm.a, INDEX(_xlpm.ab,1,1),
    _xlpm.b, INDEX(_xlpm.ab,1,2),
    BigInt.Sub(_xlpm.a, _xlpm.b)
)</f>
        <v>999999999999999</v>
      </c>
      <c r="D174" s="9" t="b">
        <f>IF(ISERROR(Sub_Tests[[#This Row],[expected]]),
    ERROR.TYPE(Sub_Tests[[#This Row],[expected]]) = ERROR.TYPE(Sub_Tests[[#This Row],[output]]),
    Sub_Tests[[#This Row],[expected]] = Sub_Tests[[#This Row],[output]]
)</f>
        <v>1</v>
      </c>
      <c r="E174" s="9" t="s">
        <v>221</v>
      </c>
    </row>
    <row r="175" spans="1:5" ht="29" hidden="1" outlineLevel="1">
      <c r="A175" s="12" t="s">
        <v>233</v>
      </c>
      <c r="B175" s="8" t="s">
        <v>4</v>
      </c>
      <c r="C175" s="9" t="str" cm="1">
        <f t="array" ref="C175">_xlfn.LET(
    _xlpm.ab, _xlfn.REGEXEXTRACT(Sub_Tests[[#This Row],[input]], "=\s*\{?\K[\w,; .-]*", 1),
    _xlpm.a, INDEX(_xlpm.ab,1,1),
    _xlpm.b, INDEX(_xlpm.ab,1,2),
    BigInt.Sub(_xlpm.a, _xlpm.b)
)</f>
        <v>0</v>
      </c>
      <c r="D175" s="9" t="b">
        <f>IF(ISERROR(Sub_Tests[[#This Row],[expected]]),
    ERROR.TYPE(Sub_Tests[[#This Row],[expected]]) = ERROR.TYPE(Sub_Tests[[#This Row],[output]]),
    Sub_Tests[[#This Row],[expected]] = Sub_Tests[[#This Row],[output]]
)</f>
        <v>1</v>
      </c>
      <c r="E175" s="9" t="s">
        <v>222</v>
      </c>
    </row>
    <row r="176" spans="1:5" collapsed="1">
      <c r="D176" s="9" t="b">
        <f>AND(Sub_Tests[passing])</f>
        <v>1</v>
      </c>
    </row>
    <row r="177" spans="1:5" ht="15" thickBot="1"/>
    <row r="178" spans="1:5" ht="18.5">
      <c r="A178" s="5" t="s">
        <v>421</v>
      </c>
      <c r="B178" s="5"/>
      <c r="C178" s="5"/>
      <c r="D178" s="5"/>
      <c r="E178" s="5"/>
    </row>
    <row r="179" spans="1:5">
      <c r="A179" t="s">
        <v>110</v>
      </c>
      <c r="B179" t="s">
        <v>35</v>
      </c>
      <c r="C179" t="s">
        <v>36</v>
      </c>
      <c r="D179" s="6" t="s">
        <v>48</v>
      </c>
      <c r="E179" t="s">
        <v>37</v>
      </c>
    </row>
    <row r="180" spans="1:5" ht="29" hidden="1" outlineLevel="1">
      <c r="A180" s="12" t="s">
        <v>252</v>
      </c>
      <c r="B180" s="9" t="s">
        <v>254</v>
      </c>
      <c r="C180" s="9" t="str">
        <f>_xlfn.LET(
    _xlpm.input_k, _xlfn.REGEXEXTRACT(Split_Tests[[#This Row],[input]], "=\s*\{?\K[\w,; .-]*", 1),
    _xlpm.input, INDEX(_xlpm.input_k,1,1),
    _xlpm.bigints, IF(_xlfn.REGEXTEST(_xlpm.input, "[,;]"), _xlfn.TEXTSPLIT(_xlpm.input, ",", ";"), _xlpm.input),
    _xlpm.k, --INDEX(_xlpm.input_k,1,2),
    _xlpm.output, core_BigInt.Split(_xlpm.bigints, _xlpm.k),
    _xlfn.ARRAYTOTEXT(_xlpm.output, 1)
)</f>
        <v>{34;12}</v>
      </c>
      <c r="D180" s="9" t="b">
        <f>IF(ISERROR(Split_Tests[[#This Row],[expected]]),
    ERROR.TYPE(Split_Tests[[#This Row],[expected]]) = ERROR.TYPE(Split_Tests[[#This Row],[output]]),
    Split_Tests[[#This Row],[expected]] = Split_Tests[[#This Row],[output]]
)</f>
        <v>1</v>
      </c>
      <c r="E180" s="9" t="s">
        <v>258</v>
      </c>
    </row>
    <row r="181" spans="1:5" ht="29" hidden="1" outlineLevel="1">
      <c r="A181" s="12" t="s">
        <v>251</v>
      </c>
      <c r="B181" s="9" t="s">
        <v>255</v>
      </c>
      <c r="C181" s="9" t="str">
        <f>_xlfn.LET(
    _xlpm.input_k, _xlfn.REGEXEXTRACT(Split_Tests[[#This Row],[input]], "=\s*\{?\K[\w,; .-]*", 1),
    _xlpm.input, INDEX(_xlpm.input_k,1,1),
    _xlpm.bigints, IF(_xlfn.REGEXTEST(_xlpm.input, "[,;]"), _xlfn.TEXTSPLIT(_xlpm.input, ",", ";"), _xlpm.input),
    _xlpm.k, --INDEX(_xlpm.input_k,1,2),
    _xlpm.output, core_BigInt.Split(_xlpm.bigints, _xlpm.k),
    _xlfn.ARRAYTOTEXT(_xlpm.output, 1)
)</f>
        <v>{23,56;1,4}</v>
      </c>
      <c r="D181" s="9" t="b">
        <f>IF(ISERROR(Split_Tests[[#This Row],[expected]]),
    ERROR.TYPE(Split_Tests[[#This Row],[expected]]) = ERROR.TYPE(Split_Tests[[#This Row],[output]]),
    Split_Tests[[#This Row],[expected]] = Split_Tests[[#This Row],[output]]
)</f>
        <v>1</v>
      </c>
      <c r="E181" s="9" t="s">
        <v>256</v>
      </c>
    </row>
    <row r="182" spans="1:5" ht="29" hidden="1" outlineLevel="1">
      <c r="A182" s="12" t="s">
        <v>253</v>
      </c>
      <c r="B182" s="9" t="s">
        <v>255</v>
      </c>
      <c r="C182" s="9" t="str">
        <f>_xlfn.LET(
    _xlpm.input_k, _xlfn.REGEXEXTRACT(Split_Tests[[#This Row],[input]], "=\s*\{?\K[\w,; .-]*", 1),
    _xlpm.input, INDEX(_xlpm.input_k,1,1),
    _xlpm.bigints, IF(_xlfn.REGEXTEST(_xlpm.input, "[,;]"), _xlfn.TEXTSPLIT(_xlpm.input, ",", ";"), _xlpm.input),
    _xlpm.k, --INDEX(_xlpm.input_k,1,2),
    _xlpm.output, core_BigInt.Split(_xlpm.bigints, _xlpm.k),
    _xlfn.ARRAYTOTEXT(_xlpm.output, 1)
)</f>
        <v>{23,56;1,4}</v>
      </c>
      <c r="D182" s="9" t="b">
        <f>IF(ISERROR(Split_Tests[[#This Row],[expected]]),
    ERROR.TYPE(Split_Tests[[#This Row],[expected]]) = ERROR.TYPE(Split_Tests[[#This Row],[output]]),
    Split_Tests[[#This Row],[expected]] = Split_Tests[[#This Row],[output]]
)</f>
        <v>1</v>
      </c>
      <c r="E182" s="9" t="s">
        <v>257</v>
      </c>
    </row>
    <row r="183" spans="1:5" collapsed="1">
      <c r="D183" s="9" t="b">
        <f>AND(Split_Tests[passing])</f>
        <v>1</v>
      </c>
    </row>
    <row r="184" spans="1:5" ht="15" thickBot="1"/>
    <row r="185" spans="1:5" ht="18.5">
      <c r="A185" s="5" t="s">
        <v>422</v>
      </c>
      <c r="B185" s="5"/>
      <c r="C185" s="5"/>
      <c r="D185" s="5"/>
      <c r="E185" s="5"/>
    </row>
    <row r="186" spans="1:5">
      <c r="A186" t="s">
        <v>110</v>
      </c>
      <c r="B186" t="s">
        <v>35</v>
      </c>
      <c r="C186" t="s">
        <v>36</v>
      </c>
      <c r="D186" s="6" t="s">
        <v>48</v>
      </c>
      <c r="E186" t="s">
        <v>37</v>
      </c>
    </row>
    <row r="187" spans="1:5" ht="29" hidden="1" outlineLevel="1">
      <c r="A187" s="12" t="s">
        <v>248</v>
      </c>
      <c r="B187" s="9" t="s">
        <v>236</v>
      </c>
      <c r="C187" s="9" t="str">
        <f>_xlfn.LET(
    _xlpm.limbs_k, _xlfn.REGEXEXTRACT(UMatrixSum_Tests[[#This Row],[input]], "=\s*\{?\K[\w,; .-]*", 1),
    _xlpm.limbs, _xlfn.TEXTSPLIT(INDEX(_xlpm.limbs_k,1,1), ",", ";"),
    _xlpm.k, --INDEX(_xlpm.limbs_k,1,2),
    _xlpm.output, core_BigInt.UMatrixSum(_xlpm.limbs, _xlpm.k),
    _xlfn.ARRAYTOTEXT(_xlpm.output, 1)
)</f>
        <v>{579}</v>
      </c>
      <c r="D187" s="9" t="b">
        <f>IF(ISERROR(UMatrixSum_Tests[[#This Row],[expected]]),
    ERROR.TYPE(UMatrixSum_Tests[[#This Row],[expected]]) = ERROR.TYPE(UMatrixSum_Tests[[#This Row],[output]]),
    UMatrixSum_Tests[[#This Row],[expected]] = UMatrixSum_Tests[[#This Row],[output]]
)</f>
        <v>1</v>
      </c>
      <c r="E187" s="9" t="s">
        <v>259</v>
      </c>
    </row>
    <row r="188" spans="1:5" ht="29" hidden="1" outlineLevel="1">
      <c r="A188" s="12" t="s">
        <v>247</v>
      </c>
      <c r="B188" s="9" t="s">
        <v>237</v>
      </c>
      <c r="C188" s="9" t="str">
        <f>_xlfn.LET(
    _xlpm.limbs_k, _xlfn.REGEXEXTRACT(UMatrixSum_Tests[[#This Row],[input]], "=\s*\{?\K[\w,; .-]*", 1),
    _xlpm.limbs, _xlfn.TEXTSPLIT(INDEX(_xlpm.limbs_k,1,1), ",", ";"),
    _xlpm.k, --INDEX(_xlpm.limbs_k,1,2),
    _xlpm.output, core_BigInt.UMatrixSum(_xlpm.limbs, _xlpm.k),
    _xlfn.ARRAYTOTEXT(_xlpm.output, 1)
)</f>
        <v>{0;9;1}</v>
      </c>
      <c r="D188" s="9" t="b">
        <f>IF(ISERROR(UMatrixSum_Tests[[#This Row],[expected]]),
    ERROR.TYPE(UMatrixSum_Tests[[#This Row],[expected]]) = ERROR.TYPE(UMatrixSum_Tests[[#This Row],[output]]),
    UMatrixSum_Tests[[#This Row],[expected]] = UMatrixSum_Tests[[#This Row],[output]]
)</f>
        <v>1</v>
      </c>
      <c r="E188" s="9" t="s">
        <v>260</v>
      </c>
    </row>
    <row r="189" spans="1:5" ht="29" hidden="1" outlineLevel="1">
      <c r="A189" s="12" t="s">
        <v>249</v>
      </c>
      <c r="B189" s="9" t="s">
        <v>238</v>
      </c>
      <c r="C189" s="9" t="str">
        <f>_xlfn.LET(
    _xlpm.limbs_k, _xlfn.REGEXEXTRACT(UMatrixSum_Tests[[#This Row],[input]], "=\s*\{?\K[\w,; .-]*", 1),
    _xlpm.limbs, _xlfn.TEXTSPLIT(INDEX(_xlpm.limbs_k,1,1), ",", ";"),
    _xlpm.k, --INDEX(_xlpm.limbs_k,1,2),
    _xlpm.output, core_BigInt.UMatrixSum(_xlpm.limbs, _xlpm.k),
    _xlfn.ARRAYTOTEXT(_xlpm.output, 1)
)</f>
        <v>{5;10}</v>
      </c>
      <c r="D189" s="9" t="b">
        <f>IF(ISERROR(UMatrixSum_Tests[[#This Row],[expected]]),
    ERROR.TYPE(UMatrixSum_Tests[[#This Row],[expected]]) = ERROR.TYPE(UMatrixSum_Tests[[#This Row],[output]]),
    UMatrixSum_Tests[[#This Row],[expected]] = UMatrixSum_Tests[[#This Row],[output]]
)</f>
        <v>1</v>
      </c>
      <c r="E189" s="9" t="s">
        <v>261</v>
      </c>
    </row>
    <row r="190" spans="1:5" ht="29" hidden="1" outlineLevel="1">
      <c r="A190" s="12" t="s">
        <v>250</v>
      </c>
      <c r="B190" s="9" t="s">
        <v>126</v>
      </c>
      <c r="C190" s="9" t="str">
        <f>_xlfn.LET(
    _xlpm.limbs_k, _xlfn.REGEXEXTRACT(UMatrixSum_Tests[[#This Row],[input]], "=\s*\{?\K[\w,; .-]*", 1),
    _xlpm.limbs, _xlfn.TEXTSPLIT(INDEX(_xlpm.limbs_k,1,1), ",", ";"),
    _xlpm.k, --INDEX(_xlpm.limbs_k,1,2),
    _xlpm.output, core_BigInt.UMatrixSum(_xlpm.limbs, _xlpm.k),
    _xlfn.ARRAYTOTEXT(_xlpm.output, 1)
)</f>
        <v>{0}</v>
      </c>
      <c r="D190" s="9" t="b">
        <f>IF(ISERROR(UMatrixSum_Tests[[#This Row],[expected]]),
    ERROR.TYPE(UMatrixSum_Tests[[#This Row],[expected]]) = ERROR.TYPE(UMatrixSum_Tests[[#This Row],[output]]),
    UMatrixSum_Tests[[#This Row],[expected]] = UMatrixSum_Tests[[#This Row],[output]]
)</f>
        <v>1</v>
      </c>
      <c r="E190" s="9" t="s">
        <v>262</v>
      </c>
    </row>
    <row r="191" spans="1:5" collapsed="1">
      <c r="D191" s="9" t="b">
        <f>AND(UMatrixSum_Tests[passing])</f>
        <v>1</v>
      </c>
    </row>
    <row r="192" spans="1:5" ht="15" thickBot="1"/>
    <row r="193" spans="1:5" ht="18.5">
      <c r="A193" s="5" t="s">
        <v>434</v>
      </c>
      <c r="B193" s="5"/>
      <c r="C193" s="5"/>
      <c r="D193" s="5"/>
      <c r="E193" s="5"/>
    </row>
    <row r="194" spans="1:5">
      <c r="A194" t="s">
        <v>110</v>
      </c>
      <c r="B194" t="s">
        <v>35</v>
      </c>
      <c r="C194" t="s">
        <v>36</v>
      </c>
      <c r="D194" s="6" t="s">
        <v>48</v>
      </c>
      <c r="E194" t="s">
        <v>37</v>
      </c>
    </row>
    <row r="195" spans="1:5" hidden="1" outlineLevel="1">
      <c r="A195" t="s">
        <v>239</v>
      </c>
      <c r="B195" s="2" t="s">
        <v>244</v>
      </c>
      <c r="C195" t="str" cm="1">
        <f t="array" ref="C195">_xlfn.LET(
    _xlpm.range, _xlfn.REGEXEXTRACT(Sum_Tests[[#This Row],[input]], "=\s*\{?\K[\w,; .-]*", 1),
    _xlpm.big_ints, IFERROR(_xlfn.TEXTSPLIT(INDEX(_xlpm.range,1,1), ",", ";"), ""),
    BigInt.Sum(_xlpm.big_ints)
)</f>
        <v>60</v>
      </c>
      <c r="D195" s="9" t="b">
        <f>IF(ISERROR(Sum_Tests[[#This Row],[expected]]),
    ERROR.TYPE(Sum_Tests[[#This Row],[expected]]) = ERROR.TYPE(Sum_Tests[[#This Row],[output]]),
    Sum_Tests[[#This Row],[expected]] = Sum_Tests[[#This Row],[output]]
)</f>
        <v>1</v>
      </c>
      <c r="E195" t="s">
        <v>264</v>
      </c>
    </row>
    <row r="196" spans="1:5" hidden="1" outlineLevel="1">
      <c r="A196" t="s">
        <v>240</v>
      </c>
      <c r="B196" s="2" t="s">
        <v>4</v>
      </c>
      <c r="C196" t="str" cm="1">
        <f t="array" ref="C196">_xlfn.LET(
    _xlpm.range, _xlfn.REGEXEXTRACT(Sum_Tests[[#This Row],[input]], "=\s*\{?\K[\w,; .-]*", 1),
    _xlpm.big_ints, IFERROR(_xlfn.TEXTSPLIT(INDEX(_xlpm.range,1,1), ",", ";"), ""),
    BigInt.Sum(_xlpm.big_ints)
)</f>
        <v>0</v>
      </c>
      <c r="D196" s="9" t="b">
        <f>IF(ISERROR(Sum_Tests[[#This Row],[expected]]),
    ERROR.TYPE(Sum_Tests[[#This Row],[expected]]) = ERROR.TYPE(Sum_Tests[[#This Row],[output]]),
    Sum_Tests[[#This Row],[expected]] = Sum_Tests[[#This Row],[output]]
)</f>
        <v>1</v>
      </c>
      <c r="E196" t="s">
        <v>265</v>
      </c>
    </row>
    <row r="197" spans="1:5" hidden="1" outlineLevel="1">
      <c r="A197" t="s">
        <v>241</v>
      </c>
      <c r="B197" s="2" t="s">
        <v>243</v>
      </c>
      <c r="C197" t="str" cm="1">
        <f t="array" ref="C197">_xlfn.LET(
    _xlpm.range, _xlfn.REGEXEXTRACT(Sum_Tests[[#This Row],[input]], "=\s*\{?\K[\w,; .-]*", 1),
    _xlpm.big_ints, IFERROR(_xlfn.TEXTSPLIT(INDEX(_xlpm.range,1,1), ",", ";"), ""),
    BigInt.Sum(_xlpm.big_ints)
)</f>
        <v>150</v>
      </c>
      <c r="D197" s="9" t="b">
        <f>IF(ISERROR(Sum_Tests[[#This Row],[expected]]),
    ERROR.TYPE(Sum_Tests[[#This Row],[expected]]) = ERROR.TYPE(Sum_Tests[[#This Row],[output]]),
    Sum_Tests[[#This Row],[expected]] = Sum_Tests[[#This Row],[output]]
)</f>
        <v>1</v>
      </c>
      <c r="E197" t="s">
        <v>266</v>
      </c>
    </row>
    <row r="198" spans="1:5" hidden="1" outlineLevel="1">
      <c r="A198" t="s">
        <v>245</v>
      </c>
      <c r="B198" s="2" t="s">
        <v>16</v>
      </c>
      <c r="C198" t="str" cm="1">
        <f t="array" ref="C198">_xlfn.LET(
    _xlpm.range, _xlfn.REGEXEXTRACT(Sum_Tests[[#This Row],[input]], "=\s*\{?\K[\w,; .-]*", 1),
    _xlpm.big_ints, IFERROR(_xlfn.TEXTSPLIT(INDEX(_xlpm.range,1,1), ",", ";"), ""),
    BigInt.Sum(_xlpm.big_ints)
)</f>
        <v>123</v>
      </c>
      <c r="D198" s="9" t="b">
        <f>IF(ISERROR(Sum_Tests[[#This Row],[expected]]),
    ERROR.TYPE(Sum_Tests[[#This Row],[expected]]) = ERROR.TYPE(Sum_Tests[[#This Row],[output]]),
    Sum_Tests[[#This Row],[expected]] = Sum_Tests[[#This Row],[output]]
)</f>
        <v>1</v>
      </c>
      <c r="E198" s="4" t="s">
        <v>267</v>
      </c>
    </row>
    <row r="199" spans="1:5" hidden="1" outlineLevel="1">
      <c r="A199" t="s">
        <v>246</v>
      </c>
      <c r="B199" s="2" t="s">
        <v>16</v>
      </c>
      <c r="C199" t="str" cm="1">
        <f t="array" ref="C199">_xlfn.LET(
    _xlpm.range, _xlfn.REGEXEXTRACT(Sum_Tests[[#This Row],[input]], "=\s*\{?\K[\w,; .-]*", 1),
    _xlpm.big_ints, IFERROR(_xlfn.TEXTSPLIT(INDEX(_xlpm.range,1,1), ",", ";"), ""),
    BigInt.Sum(_xlpm.big_ints)
)</f>
        <v>123</v>
      </c>
      <c r="D199" s="9" t="b">
        <f>IF(ISERROR(Sum_Tests[[#This Row],[expected]]),
    ERROR.TYPE(Sum_Tests[[#This Row],[expected]]) = ERROR.TYPE(Sum_Tests[[#This Row],[output]]),
    Sum_Tests[[#This Row],[expected]] = Sum_Tests[[#This Row],[output]]
)</f>
        <v>1</v>
      </c>
      <c r="E199" t="s">
        <v>268</v>
      </c>
    </row>
    <row r="200" spans="1:5" hidden="1" outlineLevel="1">
      <c r="A200" t="s">
        <v>269</v>
      </c>
      <c r="B200" s="2" t="s">
        <v>4</v>
      </c>
      <c r="C200" t="str" cm="1">
        <f t="array" ref="C200">_xlfn.LET(
    _xlpm.range, _xlfn.REGEXEXTRACT(Sum_Tests[[#This Row],[input]], "=\s*\{?\K[\w,; .-]*", 1),
    _xlpm.big_ints, IFERROR(_xlfn.TEXTSPLIT(INDEX(_xlpm.range,1,1), ",", ";"), ""),
    BigInt.Sum(_xlpm.big_ints)
)</f>
        <v>0</v>
      </c>
      <c r="D200" s="9" t="b">
        <f>IF(ISERROR(Sum_Tests[[#This Row],[expected]]),
    ERROR.TYPE(Sum_Tests[[#This Row],[expected]]) = ERROR.TYPE(Sum_Tests[[#This Row],[output]]),
    Sum_Tests[[#This Row],[expected]] = Sum_Tests[[#This Row],[output]]
)</f>
        <v>1</v>
      </c>
      <c r="E200" t="s">
        <v>270</v>
      </c>
    </row>
    <row r="201" spans="1:5" hidden="1" outlineLevel="1">
      <c r="A201" t="s">
        <v>242</v>
      </c>
      <c r="B201" t="e">
        <v>#VALUE!</v>
      </c>
      <c r="C201" t="e" cm="1">
        <f t="array" ref="C201">_xlfn.LET(
    _xlpm.range, _xlfn.REGEXEXTRACT(Sum_Tests[[#This Row],[input]], "=\s*\{?\K[\w,; .-]*", 1),
    _xlpm.big_ints, IFERROR(_xlfn.TEXTSPLIT(INDEX(_xlpm.range,1,1), ",", ";"), ""),
    BigInt.Sum(_xlpm.big_ints)
)</f>
        <v>#VALUE!</v>
      </c>
      <c r="D201" s="9" t="b">
        <f>IF(ISERROR(Sum_Tests[[#This Row],[expected]]),
    ERROR.TYPE(Sum_Tests[[#This Row],[expected]]) = ERROR.TYPE(Sum_Tests[[#This Row],[output]]),
    Sum_Tests[[#This Row],[expected]] = Sum_Tests[[#This Row],[output]]
)</f>
        <v>1</v>
      </c>
      <c r="E201" t="s">
        <v>263</v>
      </c>
    </row>
    <row r="202" spans="1:5" collapsed="1">
      <c r="D202" s="9" t="b">
        <f>AND(Sum_Tests[passing])</f>
        <v>1</v>
      </c>
    </row>
    <row r="203" spans="1:5" ht="15" thickBot="1"/>
    <row r="204" spans="1:5" ht="18.5">
      <c r="A204" s="5" t="s">
        <v>423</v>
      </c>
      <c r="B204" s="5"/>
      <c r="C204" s="5"/>
      <c r="D204" s="5"/>
      <c r="E204" s="5"/>
    </row>
    <row r="205" spans="1:5">
      <c r="A205" t="s">
        <v>110</v>
      </c>
      <c r="B205" t="s">
        <v>35</v>
      </c>
      <c r="C205" t="s">
        <v>36</v>
      </c>
      <c r="D205" s="6" t="s">
        <v>48</v>
      </c>
      <c r="E205" t="s">
        <v>37</v>
      </c>
    </row>
    <row r="206" spans="1:5" ht="43.5" hidden="1" outlineLevel="1">
      <c r="A206" s="12" t="s">
        <v>271</v>
      </c>
      <c r="B206" s="9" t="s">
        <v>276</v>
      </c>
      <c r="C206" s="9" t="str" cm="1">
        <f t="array" ref="C206">_xlfn.LET(
    _xlpm.abk, _xlfn.REGEXEXTRACT(UMul_Tests[[#This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core_BigInt.UMul(_xlpm.limbs_a, _xlpm.limbs_b, _xlpm.k),
    _xlfn.ARRAYTOTEXT(_xlpm.output, 1)
)</f>
        <v>{1;998}</v>
      </c>
      <c r="D206" s="9" t="b">
        <f>IF(ISERROR(UMul_Tests[[#This Row],[expected]]),
    ERROR.TYPE(UMul_Tests[[#This Row],[expected]]) = ERROR.TYPE(UMul_Tests[[#This Row],[output]]),
    UMul_Tests[[#This Row],[expected]] = UMul_Tests[[#This Row],[output]]
)</f>
        <v>1</v>
      </c>
      <c r="E206" s="9" t="s">
        <v>290</v>
      </c>
    </row>
    <row r="207" spans="1:5" ht="43.5" hidden="1" outlineLevel="1">
      <c r="A207" s="12" t="s">
        <v>272</v>
      </c>
      <c r="B207" s="9" t="s">
        <v>277</v>
      </c>
      <c r="C207" s="9" t="str" cm="1">
        <f t="array" ref="C207">_xlfn.LET(
    _xlpm.abk, _xlfn.REGEXEXTRACT(UMul_Tests[[#This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core_BigInt.UMul(_xlpm.limbs_a, _xlpm.limbs_b, _xlpm.k),
    _xlfn.ARRAYTOTEXT(_xlpm.output, 1)
)</f>
        <v>{912;246}</v>
      </c>
      <c r="D207" s="9" t="b">
        <f>IF(ISERROR(UMul_Tests[[#This Row],[expected]]),
    ERROR.TYPE(UMul_Tests[[#This Row],[expected]]) = ERROR.TYPE(UMul_Tests[[#This Row],[output]]),
    UMul_Tests[[#This Row],[expected]] = UMul_Tests[[#This Row],[output]]
)</f>
        <v>1</v>
      </c>
      <c r="E207" s="9" t="s">
        <v>291</v>
      </c>
    </row>
    <row r="208" spans="1:5" ht="43.5" hidden="1" outlineLevel="1">
      <c r="A208" s="12" t="s">
        <v>273</v>
      </c>
      <c r="B208" s="9" t="s">
        <v>278</v>
      </c>
      <c r="C208" s="9" t="str" cm="1">
        <f t="array" ref="C208">_xlfn.LET(
    _xlpm.abk, _xlfn.REGEXEXTRACT(UMul_Tests[[#This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core_BigInt.UMul(_xlpm.limbs_a, _xlpm.limbs_b, _xlpm.k),
    _xlfn.ARRAYTOTEXT(_xlpm.output, 1)
)</f>
        <v>{0;0;1}</v>
      </c>
      <c r="D208" s="9" t="b">
        <f>IF(ISERROR(UMul_Tests[[#This Row],[expected]]),
    ERROR.TYPE(UMul_Tests[[#This Row],[expected]]) = ERROR.TYPE(UMul_Tests[[#This Row],[output]]),
    UMul_Tests[[#This Row],[expected]] = UMul_Tests[[#This Row],[output]]
)</f>
        <v>1</v>
      </c>
      <c r="E208" s="9" t="s">
        <v>292</v>
      </c>
    </row>
    <row r="209" spans="1:5" ht="43.5" hidden="1" outlineLevel="1">
      <c r="A209" s="12" t="s">
        <v>274</v>
      </c>
      <c r="B209" s="9" t="s">
        <v>279</v>
      </c>
      <c r="C209" s="9" t="str" cm="1">
        <f t="array" ref="C209">_xlfn.LET(
    _xlpm.abk, _xlfn.REGEXEXTRACT(UMul_Tests[[#This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core_BigInt.UMul(_xlpm.limbs_a, _xlpm.limbs_b, _xlpm.k),
    _xlfn.ARRAYTOTEXT(_xlpm.output, 1)
)</f>
        <v>{1;0;998;999}</v>
      </c>
      <c r="D209" s="9" t="b">
        <f>IF(ISERROR(UMul_Tests[[#This Row],[expected]]),
    ERROR.TYPE(UMul_Tests[[#This Row],[expected]]) = ERROR.TYPE(UMul_Tests[[#This Row],[output]]),
    UMul_Tests[[#This Row],[expected]] = UMul_Tests[[#This Row],[output]]
)</f>
        <v>1</v>
      </c>
      <c r="E209" s="9" t="s">
        <v>293</v>
      </c>
    </row>
    <row r="210" spans="1:5" ht="43.5" hidden="1" outlineLevel="1">
      <c r="A210" s="12" t="s">
        <v>275</v>
      </c>
      <c r="B210" s="9" t="s">
        <v>91</v>
      </c>
      <c r="C210" s="9" t="str" cm="1">
        <f t="array" ref="C210">_xlfn.LET(
    _xlpm.abk, _xlfn.REGEXEXTRACT(UMul_Tests[[#This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core_BigInt.UMul(_xlpm.limbs_a, _xlpm.limbs_b, _xlpm.k),
    _xlfn.ARRAYTOTEXT(_xlpm.output, 1)
)</f>
        <v>{0;0;0}</v>
      </c>
      <c r="D210" s="9" t="b">
        <f>IF(ISERROR(UMul_Tests[[#This Row],[expected]]),
    ERROR.TYPE(UMul_Tests[[#This Row],[expected]]) = ERROR.TYPE(UMul_Tests[[#This Row],[output]]),
    UMul_Tests[[#This Row],[expected]] = UMul_Tests[[#This Row],[output]]
)</f>
        <v>1</v>
      </c>
      <c r="E210" s="9" t="s">
        <v>294</v>
      </c>
    </row>
    <row r="211" spans="1:5" collapsed="1">
      <c r="D211" s="9" t="b">
        <f>AND(UMul_Tests[passing])</f>
        <v>1</v>
      </c>
    </row>
    <row r="212" spans="1:5" ht="15" thickBot="1"/>
    <row r="213" spans="1:5" ht="18.5">
      <c r="A213" s="5" t="s">
        <v>435</v>
      </c>
      <c r="B213" s="5"/>
      <c r="C213" s="5"/>
      <c r="D213" s="5"/>
      <c r="E213" s="5"/>
    </row>
    <row r="214" spans="1:5">
      <c r="A214" t="s">
        <v>110</v>
      </c>
      <c r="B214" t="s">
        <v>35</v>
      </c>
      <c r="C214" t="s">
        <v>36</v>
      </c>
      <c r="D214" s="6" t="s">
        <v>48</v>
      </c>
      <c r="E214" t="s">
        <v>37</v>
      </c>
    </row>
    <row r="215" spans="1:5" ht="29" hidden="1" outlineLevel="1">
      <c r="A215" s="12" t="s">
        <v>280</v>
      </c>
      <c r="B215" s="7" t="s">
        <v>287</v>
      </c>
      <c r="C215" s="12" t="str" cm="1">
        <f t="array" ref="C215">_xlfn.LET(
    _xlpm.ab, _xlfn.REGEXEXTRACT(Mul_Tests[[#This Row],[input]], "=\s*\{?\K[\w,; .-]*", 1),
    _xlpm.a, INDEX(_xlpm.ab,1,1),
    _xlpm.b, INDEX(_xlpm.ab,1,2),
    BigInt.Mul(_xlpm.a, _xlpm.b)
)</f>
        <v>998001</v>
      </c>
      <c r="D215" s="9" t="b">
        <f>IF(ISERROR(Mul_Tests[[#This Row],[expected]]),
    ERROR.TYPE(Mul_Tests[[#This Row],[expected]]) = ERROR.TYPE(Mul_Tests[[#This Row],[output]]),
    Mul_Tests[[#This Row],[expected]] = Mul_Tests[[#This Row],[output]]
)</f>
        <v>1</v>
      </c>
      <c r="E215" s="12" t="s">
        <v>295</v>
      </c>
    </row>
    <row r="216" spans="1:5" ht="29" hidden="1" outlineLevel="1">
      <c r="A216" s="12" t="s">
        <v>281</v>
      </c>
      <c r="B216" s="7" t="s">
        <v>288</v>
      </c>
      <c r="C216" s="12" t="str" cm="1">
        <f t="array" ref="C216">_xlfn.LET(
    _xlpm.ab, _xlfn.REGEXEXTRACT(Mul_Tests[[#This Row],[input]], "=\s*\{?\K[\w,; .-]*", 1),
    _xlpm.a, INDEX(_xlpm.ab,1,1),
    _xlpm.b, INDEX(_xlpm.ab,1,2),
    BigInt.Mul(_xlpm.a, _xlpm.b)
)</f>
        <v>-56088</v>
      </c>
      <c r="D216" s="9" t="b">
        <f>IF(ISERROR(Mul_Tests[[#This Row],[expected]]),
    ERROR.TYPE(Mul_Tests[[#This Row],[expected]]) = ERROR.TYPE(Mul_Tests[[#This Row],[output]]),
    Mul_Tests[[#This Row],[expected]] = Mul_Tests[[#This Row],[output]]
)</f>
        <v>1</v>
      </c>
      <c r="E216" s="12" t="s">
        <v>297</v>
      </c>
    </row>
    <row r="217" spans="1:5" ht="29" hidden="1" outlineLevel="1">
      <c r="A217" s="12" t="s">
        <v>282</v>
      </c>
      <c r="B217" s="7" t="s">
        <v>289</v>
      </c>
      <c r="C217" s="12" t="str" cm="1">
        <f t="array" ref="C217">_xlfn.LET(
    _xlpm.ab, _xlfn.REGEXEXTRACT(Mul_Tests[[#This Row],[input]], "=\s*\{?\K[\w,; .-]*", 1),
    _xlpm.a, INDEX(_xlpm.ab,1,1),
    _xlpm.b, INDEX(_xlpm.ab,1,2),
    BigInt.Mul(_xlpm.a, _xlpm.b)
)</f>
        <v>56088</v>
      </c>
      <c r="D217" s="9" t="b">
        <f>IF(ISERROR(Mul_Tests[[#This Row],[expected]]),
    ERROR.TYPE(Mul_Tests[[#This Row],[expected]]) = ERROR.TYPE(Mul_Tests[[#This Row],[output]]),
    Mul_Tests[[#This Row],[expected]] = Mul_Tests[[#This Row],[output]]
)</f>
        <v>1</v>
      </c>
      <c r="E217" s="12" t="s">
        <v>296</v>
      </c>
    </row>
    <row r="218" spans="1:5" ht="29" hidden="1" outlineLevel="1">
      <c r="A218" s="12" t="s">
        <v>283</v>
      </c>
      <c r="B218" s="7" t="s">
        <v>4</v>
      </c>
      <c r="C218" s="12" t="str" cm="1">
        <f t="array" ref="C218">_xlfn.LET(
    _xlpm.ab, _xlfn.REGEXEXTRACT(Mul_Tests[[#This Row],[input]], "=\s*\{?\K[\w,; .-]*", 1),
    _xlpm.a, INDEX(_xlpm.ab,1,1),
    _xlpm.b, INDEX(_xlpm.ab,1,2),
    BigInt.Mul(_xlpm.a, _xlpm.b)
)</f>
        <v>0</v>
      </c>
      <c r="D218" s="9" t="b">
        <f>IF(ISERROR(Mul_Tests[[#This Row],[expected]]),
    ERROR.TYPE(Mul_Tests[[#This Row],[expected]]) = ERROR.TYPE(Mul_Tests[[#This Row],[output]]),
    Mul_Tests[[#This Row],[expected]] = Mul_Tests[[#This Row],[output]]
)</f>
        <v>1</v>
      </c>
      <c r="E218" s="12" t="s">
        <v>298</v>
      </c>
    </row>
    <row r="219" spans="1:5" ht="29" hidden="1" outlineLevel="1">
      <c r="A219" s="12" t="s">
        <v>284</v>
      </c>
      <c r="B219" s="7" t="s">
        <v>286</v>
      </c>
      <c r="C219" s="12" t="str" cm="1">
        <f t="array" ref="C219">_xlfn.LET(
    _xlpm.ab, _xlfn.REGEXEXTRACT(Mul_Tests[[#This Row],[input]], "=\s*\{?\K[\w,; .-]*", 1),
    _xlpm.a, INDEX(_xlpm.ab,1,1),
    _xlpm.b, INDEX(_xlpm.ab,1,2),
    BigInt.Mul(_xlpm.a, _xlpm.b)
)</f>
        <v>999999999999999999</v>
      </c>
      <c r="D219" s="9" t="b">
        <f>IF(ISERROR(Mul_Tests[[#This Row],[expected]]),
    ERROR.TYPE(Mul_Tests[[#This Row],[expected]]) = ERROR.TYPE(Mul_Tests[[#This Row],[output]]),
    Mul_Tests[[#This Row],[expected]] = Mul_Tests[[#This Row],[output]]
)</f>
        <v>1</v>
      </c>
      <c r="E219" s="12" t="s">
        <v>299</v>
      </c>
    </row>
    <row r="220" spans="1:5" ht="29" hidden="1" outlineLevel="1">
      <c r="A220" s="12" t="s">
        <v>285</v>
      </c>
      <c r="B220" s="7" t="s">
        <v>4</v>
      </c>
      <c r="C220" s="12" t="str" cm="1">
        <f t="array" ref="C220">_xlfn.LET(
    _xlpm.ab, _xlfn.REGEXEXTRACT(Mul_Tests[[#This Row],[input]], "=\s*\{?\K[\w,; .-]*", 1),
    _xlpm.a, INDEX(_xlpm.ab,1,1),
    _xlpm.b, INDEX(_xlpm.ab,1,2),
    BigInt.Mul(_xlpm.a, _xlpm.b)
)</f>
        <v>0</v>
      </c>
      <c r="D220" s="9" t="b">
        <f>IF(ISERROR(Mul_Tests[[#This Row],[expected]]),
    ERROR.TYPE(Mul_Tests[[#This Row],[expected]]) = ERROR.TYPE(Mul_Tests[[#This Row],[output]]),
    Mul_Tests[[#This Row],[expected]] = Mul_Tests[[#This Row],[output]]
)</f>
        <v>1</v>
      </c>
      <c r="E220" s="12" t="s">
        <v>300</v>
      </c>
    </row>
    <row r="221" spans="1:5" collapsed="1">
      <c r="A221" s="12"/>
      <c r="B221" s="12"/>
      <c r="C221" s="12"/>
      <c r="D221" s="9" t="b">
        <f>AND(Mul_Tests[passing])</f>
        <v>1</v>
      </c>
      <c r="E221" s="12"/>
    </row>
    <row r="222" spans="1:5" ht="15" thickBot="1"/>
    <row r="223" spans="1:5" ht="18.5">
      <c r="A223" s="5" t="s">
        <v>424</v>
      </c>
      <c r="B223" s="5"/>
      <c r="C223" s="5"/>
      <c r="D223" s="5"/>
      <c r="E223" s="5"/>
    </row>
    <row r="224" spans="1:5">
      <c r="A224" t="s">
        <v>110</v>
      </c>
      <c r="B224" t="s">
        <v>35</v>
      </c>
      <c r="C224" t="s">
        <v>36</v>
      </c>
      <c r="D224" s="6" t="s">
        <v>48</v>
      </c>
      <c r="E224" t="s">
        <v>37</v>
      </c>
    </row>
    <row r="225" spans="1:5" ht="43.5" hidden="1" outlineLevel="1">
      <c r="A225" s="12" t="s">
        <v>301</v>
      </c>
      <c r="B225" s="9" t="s">
        <v>305</v>
      </c>
      <c r="C225" s="9" t="str" cm="1">
        <f t="array" ref="C225">_xlfn.LET(
    _xlpm.abk, _xlfn.REGEXEXTRACT(KnuthDiv_Tests[[#This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core_BigInt.KnuthDiv(_xlpm.limbs_a, _xlpm.limbs_b, _xlpm.k),
    _xlfn.ARRAYTOTEXT(_xlpm.output, 1)
)</f>
        <v>{1;0;288;10}</v>
      </c>
      <c r="D225" s="9" t="b">
        <f>IF(ISERROR(KnuthDiv_Tests[[#This Row],[expected]]),
    ERROR.TYPE(KnuthDiv_Tests[[#This Row],[expected]]) = ERROR.TYPE(KnuthDiv_Tests[[#This Row],[output]]),
    KnuthDiv_Tests[[#This Row],[expected]] = KnuthDiv_Tests[[#This Row],[output]]
)</f>
        <v>1</v>
      </c>
      <c r="E225" s="9" t="s">
        <v>331</v>
      </c>
    </row>
    <row r="226" spans="1:5" ht="43.5" hidden="1" outlineLevel="1">
      <c r="A226" s="12" t="s">
        <v>313</v>
      </c>
      <c r="B226" s="9" t="s">
        <v>306</v>
      </c>
      <c r="C226" s="9" t="str" cm="1">
        <f t="array" ref="C226">_xlfn.LET(
    _xlpm.abk, _xlfn.REGEXEXTRACT(KnuthDiv_Tests[[#This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core_BigInt.KnuthDiv(_xlpm.limbs_a, _xlpm.limbs_b, _xlpm.k),
    _xlfn.ARRAYTOTEXT(_xlpm.output, 1)
)</f>
        <v>{1;1;857;142}</v>
      </c>
      <c r="D226" s="9" t="b">
        <f>IF(ISERROR(KnuthDiv_Tests[[#This Row],[expected]]),
    ERROR.TYPE(KnuthDiv_Tests[[#This Row],[expected]]) = ERROR.TYPE(KnuthDiv_Tests[[#This Row],[output]]),
    KnuthDiv_Tests[[#This Row],[expected]] = KnuthDiv_Tests[[#This Row],[output]]
)</f>
        <v>1</v>
      </c>
      <c r="E226" s="9" t="s">
        <v>332</v>
      </c>
    </row>
    <row r="227" spans="1:5" ht="43.5" hidden="1" outlineLevel="1">
      <c r="A227" s="12" t="s">
        <v>302</v>
      </c>
      <c r="B227" s="9" t="s">
        <v>307</v>
      </c>
      <c r="C227" s="9" t="str" cm="1">
        <f t="array" ref="C227">_xlfn.LET(
    _xlpm.abk, _xlfn.REGEXEXTRACT(KnuthDiv_Tests[[#This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core_BigInt.KnuthDiv(_xlpm.limbs_a, _xlpm.limbs_b, _xlpm.k),
    _xlfn.ARRAYTOTEXT(_xlpm.output, 1)
)</f>
        <v>{1;5;0}</v>
      </c>
      <c r="D227" s="9" t="b">
        <f>IF(ISERROR(KnuthDiv_Tests[[#This Row],[expected]]),
    ERROR.TYPE(KnuthDiv_Tests[[#This Row],[expected]]) = ERROR.TYPE(KnuthDiv_Tests[[#This Row],[output]]),
    KnuthDiv_Tests[[#This Row],[expected]] = KnuthDiv_Tests[[#This Row],[output]]
)</f>
        <v>1</v>
      </c>
      <c r="E227" s="9" t="s">
        <v>333</v>
      </c>
    </row>
    <row r="228" spans="1:5" ht="43.5" hidden="1" outlineLevel="1">
      <c r="A228" s="12" t="s">
        <v>274</v>
      </c>
      <c r="B228" s="9" t="s">
        <v>308</v>
      </c>
      <c r="C228" s="9" t="str" cm="1">
        <f t="array" ref="C228">_xlfn.LET(
    _xlpm.abk, _xlfn.REGEXEXTRACT(KnuthDiv_Tests[[#This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core_BigInt.KnuthDiv(_xlpm.limbs_a, _xlpm.limbs_b, _xlpm.k),
    _xlfn.ARRAYTOTEXT(_xlpm.output, 1)
)</f>
        <v>{1;0;1}</v>
      </c>
      <c r="D228" s="9" t="b">
        <f>IF(ISERROR(KnuthDiv_Tests[[#This Row],[expected]]),
    ERROR.TYPE(KnuthDiv_Tests[[#This Row],[expected]]) = ERROR.TYPE(KnuthDiv_Tests[[#This Row],[output]]),
    KnuthDiv_Tests[[#This Row],[expected]] = KnuthDiv_Tests[[#This Row],[output]]
)</f>
        <v>1</v>
      </c>
      <c r="E228" s="9" t="s">
        <v>334</v>
      </c>
    </row>
    <row r="229" spans="1:5" ht="43.5" hidden="1" outlineLevel="1">
      <c r="A229" s="12" t="s">
        <v>303</v>
      </c>
      <c r="B229" s="9" t="s">
        <v>309</v>
      </c>
      <c r="C229" s="9" t="str" cm="1">
        <f t="array" ref="C229">_xlfn.LET(
    _xlpm.abk, _xlfn.REGEXEXTRACT(KnuthDiv_Tests[[#This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core_BigInt.KnuthDiv(_xlpm.limbs_a, _xlpm.limbs_b, _xlpm.k),
    _xlfn.ARRAYTOTEXT(_xlpm.output, 1)
)</f>
        <v>{1;0;333;333;333}</v>
      </c>
      <c r="D229" s="9" t="b">
        <f>IF(ISERROR(KnuthDiv_Tests[[#This Row],[expected]]),
    ERROR.TYPE(KnuthDiv_Tests[[#This Row],[expected]]) = ERROR.TYPE(KnuthDiv_Tests[[#This Row],[output]]),
    KnuthDiv_Tests[[#This Row],[expected]] = KnuthDiv_Tests[[#This Row],[output]]
)</f>
        <v>1</v>
      </c>
      <c r="E229" s="9" t="s">
        <v>335</v>
      </c>
    </row>
    <row r="230" spans="1:5" ht="43.5" hidden="1" outlineLevel="1">
      <c r="A230" s="12" t="s">
        <v>304</v>
      </c>
      <c r="B230" s="9" t="s">
        <v>310</v>
      </c>
      <c r="C230" s="9" t="str" cm="1">
        <f t="array" ref="C230">_xlfn.LET(
    _xlpm.abk, _xlfn.REGEXEXTRACT(KnuthDiv_Tests[[#This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core_BigInt.KnuthDiv(_xlpm.limbs_a, _xlpm.limbs_b, _xlpm.k),
    _xlfn.ARRAYTOTEXT(_xlpm.output, 1)
)</f>
        <v>{1;0;0;2}</v>
      </c>
      <c r="D230" s="9" t="b">
        <f>IF(ISERROR(KnuthDiv_Tests[[#This Row],[expected]]),
    ERROR.TYPE(KnuthDiv_Tests[[#This Row],[expected]]) = ERROR.TYPE(KnuthDiv_Tests[[#This Row],[output]]),
    KnuthDiv_Tests[[#This Row],[expected]] = KnuthDiv_Tests[[#This Row],[output]]
)</f>
        <v>1</v>
      </c>
      <c r="E230" s="9" t="s">
        <v>336</v>
      </c>
    </row>
    <row r="231" spans="1:5" ht="43.5" hidden="1" outlineLevel="1">
      <c r="A231" s="12" t="s">
        <v>314</v>
      </c>
      <c r="B231" s="9" t="s">
        <v>311</v>
      </c>
      <c r="C231" s="9" t="str" cm="1">
        <f t="array" ref="C231">_xlfn.LET(
    _xlpm.abk, _xlfn.REGEXEXTRACT(KnuthDiv_Tests[[#This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core_BigInt.KnuthDiv(_xlpm.limbs_a, _xlpm.limbs_b, _xlpm.k),
    _xlfn.ARRAYTOTEXT(_xlpm.output, 1)
)</f>
        <v>{2;999;499;1}</v>
      </c>
      <c r="D231" s="9" t="b">
        <f>IF(ISERROR(KnuthDiv_Tests[[#This Row],[expected]]),
    ERROR.TYPE(KnuthDiv_Tests[[#This Row],[expected]]) = ERROR.TYPE(KnuthDiv_Tests[[#This Row],[output]]),
    KnuthDiv_Tests[[#This Row],[expected]] = KnuthDiv_Tests[[#This Row],[output]]
)</f>
        <v>1</v>
      </c>
      <c r="E231" s="9" t="s">
        <v>337</v>
      </c>
    </row>
    <row r="232" spans="1:5" ht="43.5" hidden="1" outlineLevel="1">
      <c r="A232" s="12" t="s">
        <v>315</v>
      </c>
      <c r="B232" s="9" t="s">
        <v>312</v>
      </c>
      <c r="C232" s="9" t="str" cm="1">
        <f t="array" ref="C232">_xlfn.LET(
    _xlpm.abk, _xlfn.REGEXEXTRACT(KnuthDiv_Tests[[#This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core_BigInt.KnuthDiv(_xlpm.limbs_a, _xlpm.limbs_b, _xlpm.k),
    _xlfn.ARRAYTOTEXT(_xlpm.output, 1)
)</f>
        <v>{1;1;1;1}</v>
      </c>
      <c r="D232" s="9" t="b">
        <f>IF(ISERROR(KnuthDiv_Tests[[#This Row],[expected]]),
    ERROR.TYPE(KnuthDiv_Tests[[#This Row],[expected]]) = ERROR.TYPE(KnuthDiv_Tests[[#This Row],[output]]),
    KnuthDiv_Tests[[#This Row],[expected]] = KnuthDiv_Tests[[#This Row],[output]]
)</f>
        <v>1</v>
      </c>
      <c r="E232" s="9" t="s">
        <v>338</v>
      </c>
    </row>
    <row r="233" spans="1:5" collapsed="1">
      <c r="D233" s="9" t="b">
        <f>AND(KnuthDiv_Tests[passing])</f>
        <v>1</v>
      </c>
    </row>
    <row r="234" spans="1:5" ht="15" thickBot="1"/>
    <row r="235" spans="1:5" ht="18.5">
      <c r="A235" s="5" t="s">
        <v>436</v>
      </c>
      <c r="B235" s="5"/>
      <c r="C235" s="5"/>
      <c r="D235" s="5"/>
      <c r="E235" s="5"/>
    </row>
    <row r="236" spans="1:5">
      <c r="A236" t="s">
        <v>110</v>
      </c>
      <c r="B236" t="s">
        <v>35</v>
      </c>
      <c r="C236" t="s">
        <v>36</v>
      </c>
      <c r="D236" s="6" t="s">
        <v>48</v>
      </c>
      <c r="E236" t="s">
        <v>37</v>
      </c>
    </row>
    <row r="237" spans="1:5" ht="29" hidden="1" outlineLevel="1">
      <c r="A237" s="12" t="s">
        <v>321</v>
      </c>
      <c r="B237" s="8" t="s">
        <v>316</v>
      </c>
      <c r="C237" s="9" t="str" cm="1">
        <f t="array" ref="C237">_xlfn.LET(
    _xlpm.ab, _xlfn.REGEXEXTRACT(Div_Tests[[#This Row],[input]], "=\s*\{?\K[\w,; .-]*", 1),
    _xlpm.a, INDEX(_xlpm.ab,1,1),
    _xlpm.b, INDEX(_xlpm.ab,1,2),
    BigInt.Div(_xlpm.a, _xlpm.b)
)</f>
        <v>12</v>
      </c>
      <c r="D237" s="9" t="b">
        <f>IF(ISERROR(Div_Tests[[#This Row],[expected]]),
    ERROR.TYPE(Div_Tests[[#This Row],[expected]]) = ERROR.TYPE(Div_Tests[[#This Row],[output]]),
    Div_Tests[[#This Row],[expected]] = Div_Tests[[#This Row],[output]]
)</f>
        <v>1</v>
      </c>
      <c r="E237" s="9" t="s">
        <v>340</v>
      </c>
    </row>
    <row r="238" spans="1:5" ht="29" hidden="1" outlineLevel="1">
      <c r="A238" s="12" t="s">
        <v>322</v>
      </c>
      <c r="B238" s="8" t="s">
        <v>317</v>
      </c>
      <c r="C238" s="9" t="str" cm="1">
        <f t="array" ref="C238">_xlfn.LET(
    _xlpm.ab, _xlfn.REGEXEXTRACT(Div_Tests[[#This Row],[input]], "=\s*\{?\K[\w,; .-]*", 1),
    _xlpm.a, INDEX(_xlpm.ab,1,1),
    _xlpm.b, INDEX(_xlpm.ab,1,2),
    BigInt.Div(_xlpm.a, _xlpm.b)
)</f>
        <v>3</v>
      </c>
      <c r="D238" s="9" t="b">
        <f>IF(ISERROR(Div_Tests[[#This Row],[expected]]),
    ERROR.TYPE(Div_Tests[[#This Row],[expected]]) = ERROR.TYPE(Div_Tests[[#This Row],[output]]),
    Div_Tests[[#This Row],[expected]] = Div_Tests[[#This Row],[output]]
)</f>
        <v>1</v>
      </c>
      <c r="E238" s="9" t="s">
        <v>341</v>
      </c>
    </row>
    <row r="239" spans="1:5" ht="29" hidden="1" outlineLevel="1">
      <c r="A239" s="12" t="s">
        <v>323</v>
      </c>
      <c r="B239" s="8" t="s">
        <v>318</v>
      </c>
      <c r="C239" s="9" t="str" cm="1">
        <f t="array" ref="C239">_xlfn.LET(
    _xlpm.ab, _xlfn.REGEXEXTRACT(Div_Tests[[#This Row],[input]], "=\s*\{?\K[\w,; .-]*", 1),
    _xlpm.a, INDEX(_xlpm.ab,1,1),
    _xlpm.b, INDEX(_xlpm.ab,1,2),
    BigInt.Div(_xlpm.a, _xlpm.b)
)</f>
        <v>-33</v>
      </c>
      <c r="D239" s="9" t="b">
        <f>IF(ISERROR(Div_Tests[[#This Row],[expected]]),
    ERROR.TYPE(Div_Tests[[#This Row],[expected]]) = ERROR.TYPE(Div_Tests[[#This Row],[output]]),
    Div_Tests[[#This Row],[expected]] = Div_Tests[[#This Row],[output]]
)</f>
        <v>1</v>
      </c>
      <c r="E239" s="9" t="s">
        <v>342</v>
      </c>
    </row>
    <row r="240" spans="1:5" ht="29" hidden="1" outlineLevel="1">
      <c r="A240" s="12" t="s">
        <v>324</v>
      </c>
      <c r="B240" s="8" t="s">
        <v>318</v>
      </c>
      <c r="C240" s="9" t="str" cm="1">
        <f t="array" ref="C240">_xlfn.LET(
    _xlpm.ab, _xlfn.REGEXEXTRACT(Div_Tests[[#This Row],[input]], "=\s*\{?\K[\w,; .-]*", 1),
    _xlpm.a, INDEX(_xlpm.ab,1,1),
    _xlpm.b, INDEX(_xlpm.ab,1,2),
    BigInt.Div(_xlpm.a, _xlpm.b)
)</f>
        <v>-33</v>
      </c>
      <c r="D240" s="9" t="b">
        <f>IF(ISERROR(Div_Tests[[#This Row],[expected]]),
    ERROR.TYPE(Div_Tests[[#This Row],[expected]]) = ERROR.TYPE(Div_Tests[[#This Row],[output]]),
    Div_Tests[[#This Row],[expected]] = Div_Tests[[#This Row],[output]]
)</f>
        <v>1</v>
      </c>
      <c r="E240" s="9" t="s">
        <v>343</v>
      </c>
    </row>
    <row r="241" spans="1:5" ht="29" hidden="1" outlineLevel="1">
      <c r="A241" s="12" t="s">
        <v>325</v>
      </c>
      <c r="B241" s="8" t="s">
        <v>319</v>
      </c>
      <c r="C241" s="9" t="str" cm="1">
        <f t="array" ref="C241">_xlfn.LET(
    _xlpm.ab, _xlfn.REGEXEXTRACT(Div_Tests[[#This Row],[input]], "=\s*\{?\K[\w,; .-]*", 1),
    _xlpm.a, INDEX(_xlpm.ab,1,1),
    _xlpm.b, INDEX(_xlpm.ab,1,2),
    BigInt.Div(_xlpm.a, _xlpm.b)
)</f>
        <v>33</v>
      </c>
      <c r="D241" s="9" t="b">
        <f>IF(ISERROR(Div_Tests[[#This Row],[expected]]),
    ERROR.TYPE(Div_Tests[[#This Row],[expected]]) = ERROR.TYPE(Div_Tests[[#This Row],[output]]),
    Div_Tests[[#This Row],[expected]] = Div_Tests[[#This Row],[output]]
)</f>
        <v>1</v>
      </c>
      <c r="E241" s="9" t="s">
        <v>344</v>
      </c>
    </row>
    <row r="242" spans="1:5" ht="29" hidden="1" outlineLevel="1">
      <c r="A242" s="12" t="s">
        <v>326</v>
      </c>
      <c r="B242" s="8" t="s">
        <v>4</v>
      </c>
      <c r="C242" s="9" t="str" cm="1">
        <f t="array" ref="C242">_xlfn.LET(
    _xlpm.ab, _xlfn.REGEXEXTRACT(Div_Tests[[#This Row],[input]], "=\s*\{?\K[\w,; .-]*", 1),
    _xlpm.a, INDEX(_xlpm.ab,1,1),
    _xlpm.b, INDEX(_xlpm.ab,1,2),
    BigInt.Div(_xlpm.a, _xlpm.b)
)</f>
        <v>0</v>
      </c>
      <c r="D242" s="9" t="b">
        <f>IF(ISERROR(Div_Tests[[#This Row],[expected]]),
    ERROR.TYPE(Div_Tests[[#This Row],[expected]]) = ERROR.TYPE(Div_Tests[[#This Row],[output]]),
    Div_Tests[[#This Row],[expected]] = Div_Tests[[#This Row],[output]]
)</f>
        <v>1</v>
      </c>
      <c r="E242" s="9" t="s">
        <v>372</v>
      </c>
    </row>
    <row r="243" spans="1:5" ht="29" hidden="1" outlineLevel="1">
      <c r="A243" s="12" t="s">
        <v>327</v>
      </c>
      <c r="B243" s="8" t="s">
        <v>4</v>
      </c>
      <c r="C243" s="9" t="str" cm="1">
        <f t="array" ref="C243">_xlfn.LET(
    _xlpm.ab, _xlfn.REGEXEXTRACT(Div_Tests[[#This Row],[input]], "=\s*\{?\K[\w,; .-]*", 1),
    _xlpm.a, INDEX(_xlpm.ab,1,1),
    _xlpm.b, INDEX(_xlpm.ab,1,2),
    BigInt.Div(_xlpm.a, _xlpm.b)
)</f>
        <v>0</v>
      </c>
      <c r="D243" s="9" t="b">
        <f>IF(ISERROR(Div_Tests[[#This Row],[expected]]),
    ERROR.TYPE(Div_Tests[[#This Row],[expected]]) = ERROR.TYPE(Div_Tests[[#This Row],[output]]),
    Div_Tests[[#This Row],[expected]] = Div_Tests[[#This Row],[output]]
)</f>
        <v>1</v>
      </c>
      <c r="E243" s="9" t="s">
        <v>345</v>
      </c>
    </row>
    <row r="244" spans="1:5" ht="29" hidden="1" outlineLevel="1">
      <c r="A244" s="12" t="s">
        <v>328</v>
      </c>
      <c r="B244" s="9" t="e">
        <v>#DIV/0!</v>
      </c>
      <c r="C244" s="9" t="e" cm="1">
        <f t="array" ref="C244">_xlfn.LET(
    _xlpm.ab, _xlfn.REGEXEXTRACT(Div_Tests[[#This Row],[input]], "=\s*\{?\K[\w,; .-]*", 1),
    _xlpm.a, INDEX(_xlpm.ab,1,1),
    _xlpm.b, INDEX(_xlpm.ab,1,2),
    BigInt.Div(_xlpm.a, _xlpm.b)
)</f>
        <v>#DIV/0!</v>
      </c>
      <c r="D244" s="9" t="b">
        <f>IF(ISERROR(Div_Tests[[#This Row],[expected]]),
    ERROR.TYPE(Div_Tests[[#This Row],[expected]]) = ERROR.TYPE(Div_Tests[[#This Row],[output]]),
    Div_Tests[[#This Row],[expected]] = Div_Tests[[#This Row],[output]]
)</f>
        <v>1</v>
      </c>
      <c r="E244" s="9" t="s">
        <v>374</v>
      </c>
    </row>
    <row r="245" spans="1:5" ht="29" hidden="1" outlineLevel="1">
      <c r="A245" s="12" t="s">
        <v>329</v>
      </c>
      <c r="B245" s="8" t="s">
        <v>320</v>
      </c>
      <c r="C245" s="9" t="str" cm="1">
        <f t="array" ref="C245">_xlfn.LET(
    _xlpm.ab, _xlfn.REGEXEXTRACT(Div_Tests[[#This Row],[input]], "=\s*\{?\K[\w,; .-]*", 1),
    _xlpm.a, INDEX(_xlpm.ab,1,1),
    _xlpm.b, INDEX(_xlpm.ab,1,2),
    BigInt.Div(_xlpm.a, _xlpm.b)
)</f>
        <v>-12</v>
      </c>
      <c r="D245" s="9" t="b">
        <f>IF(ISERROR(Div_Tests[[#This Row],[expected]]),
    ERROR.TYPE(Div_Tests[[#This Row],[expected]]) = ERROR.TYPE(Div_Tests[[#This Row],[output]]),
    Div_Tests[[#This Row],[expected]] = Div_Tests[[#This Row],[output]]
)</f>
        <v>1</v>
      </c>
      <c r="E245" s="9" t="s">
        <v>346</v>
      </c>
    </row>
    <row r="246" spans="1:5" ht="29" hidden="1" outlineLevel="1">
      <c r="A246" s="12" t="s">
        <v>330</v>
      </c>
      <c r="B246" s="8" t="s">
        <v>339</v>
      </c>
      <c r="C246" s="9" t="str" cm="1">
        <f t="array" ref="C246">_xlfn.LET(
    _xlpm.ab, _xlfn.REGEXEXTRACT(Div_Tests[[#This Row],[input]], "=\s*\{?\K[\w,; .-]*", 1),
    _xlpm.a, INDEX(_xlpm.ab,1,1),
    _xlpm.b, INDEX(_xlpm.ab,1,2),
    BigInt.Div(_xlpm.a, _xlpm.b)
)</f>
        <v>8000000080</v>
      </c>
      <c r="D246" s="9" t="b">
        <f>IF(ISERROR(Div_Tests[[#This Row],[expected]]),
    ERROR.TYPE(Div_Tests[[#This Row],[expected]]) = ERROR.TYPE(Div_Tests[[#This Row],[output]]),
    Div_Tests[[#This Row],[expected]] = Div_Tests[[#This Row],[output]]
)</f>
        <v>1</v>
      </c>
      <c r="E246" s="9" t="s">
        <v>347</v>
      </c>
    </row>
    <row r="247" spans="1:5" ht="14.5" customHeight="1" collapsed="1">
      <c r="A247" s="12"/>
      <c r="B247" s="9"/>
      <c r="C247" s="9"/>
      <c r="D247" s="9" t="b">
        <f>AND(Div_Tests[passing])</f>
        <v>1</v>
      </c>
      <c r="E247" s="9"/>
    </row>
    <row r="248" spans="1:5" ht="15" thickBot="1"/>
    <row r="249" spans="1:5" ht="18.5">
      <c r="A249" s="5" t="s">
        <v>437</v>
      </c>
      <c r="B249" s="5"/>
      <c r="C249" s="5"/>
      <c r="D249" s="5"/>
      <c r="E249" s="5"/>
    </row>
    <row r="250" spans="1:5">
      <c r="A250" t="s">
        <v>110</v>
      </c>
      <c r="B250" t="s">
        <v>35</v>
      </c>
      <c r="C250" t="s">
        <v>36</v>
      </c>
      <c r="D250" s="6" t="s">
        <v>48</v>
      </c>
      <c r="E250" t="s">
        <v>37</v>
      </c>
    </row>
    <row r="251" spans="1:5" ht="29" hidden="1" outlineLevel="1">
      <c r="A251" s="12" t="s">
        <v>321</v>
      </c>
      <c r="B251" s="8" t="s">
        <v>4</v>
      </c>
      <c r="C251" s="9" t="str" cm="1">
        <f t="array" ref="C251">_xlfn.LET(
    _xlpm.ab, _xlfn.REGEXEXTRACT(Mod_Tests[[#This Row],[input]], "=\s*\{?\K[\w,; .-]*", 1),
    _xlpm.a, INDEX(_xlpm.ab,1,1),
    _xlpm.b, INDEX(_xlpm.ab,1,2),
    BigInt.Mod(_xlpm.a, _xlpm.b)
)</f>
        <v>0</v>
      </c>
      <c r="D251" s="9" t="b">
        <f>IF(ISERROR(Mod_Tests[[#This Row],[expected]]),
    ERROR.TYPE(Mod_Tests[[#This Row],[expected]]) = ERROR.TYPE(Mod_Tests[[#This Row],[output]]),
    Mod_Tests[[#This Row],[expected]] = Mod_Tests[[#This Row],[output]]
)</f>
        <v>1</v>
      </c>
      <c r="E251" s="9" t="s">
        <v>361</v>
      </c>
    </row>
    <row r="252" spans="1:5" ht="29" hidden="1" outlineLevel="1">
      <c r="A252" s="12" t="s">
        <v>322</v>
      </c>
      <c r="B252" s="8" t="s">
        <v>348</v>
      </c>
      <c r="C252" s="9" t="str" cm="1">
        <f t="array" ref="C252">_xlfn.LET(
    _xlpm.ab, _xlfn.REGEXEXTRACT(Mod_Tests[[#This Row],[input]], "=\s*\{?\K[\w,; .-]*", 1),
    _xlpm.a, INDEX(_xlpm.ab,1,1),
    _xlpm.b, INDEX(_xlpm.ab,1,2),
    BigInt.Mod(_xlpm.a, _xlpm.b)
)</f>
        <v>4</v>
      </c>
      <c r="D252" s="9" t="b">
        <f>IF(ISERROR(Mod_Tests[[#This Row],[expected]]),
    ERROR.TYPE(Mod_Tests[[#This Row],[expected]]) = ERROR.TYPE(Mod_Tests[[#This Row],[output]]),
    Mod_Tests[[#This Row],[expected]] = Mod_Tests[[#This Row],[output]]
)</f>
        <v>1</v>
      </c>
      <c r="E252" s="9" t="s">
        <v>360</v>
      </c>
    </row>
    <row r="253" spans="1:5" ht="29" hidden="1" outlineLevel="1">
      <c r="A253" s="12" t="s">
        <v>323</v>
      </c>
      <c r="B253" s="8" t="s">
        <v>54</v>
      </c>
      <c r="C253" s="9" t="str" cm="1">
        <f t="array" ref="C253">_xlfn.LET(
    _xlpm.ab, _xlfn.REGEXEXTRACT(Mod_Tests[[#This Row],[input]], "=\s*\{?\K[\w,; .-]*", 1),
    _xlpm.a, INDEX(_xlpm.ab,1,1),
    _xlpm.b, INDEX(_xlpm.ab,1,2),
    BigInt.Mod(_xlpm.a, _xlpm.b)
)</f>
        <v>-1</v>
      </c>
      <c r="D253" s="9" t="b">
        <f>IF(ISERROR(Mod_Tests[[#This Row],[expected]]),
    ERROR.TYPE(Mod_Tests[[#This Row],[expected]]) = ERROR.TYPE(Mod_Tests[[#This Row],[output]]),
    Mod_Tests[[#This Row],[expected]] = Mod_Tests[[#This Row],[output]]
)</f>
        <v>1</v>
      </c>
      <c r="E253" s="9" t="s">
        <v>362</v>
      </c>
    </row>
    <row r="254" spans="1:5" ht="29" hidden="1" outlineLevel="1">
      <c r="A254" s="12" t="s">
        <v>324</v>
      </c>
      <c r="B254" s="8" t="s">
        <v>53</v>
      </c>
      <c r="C254" s="9" t="str" cm="1">
        <f t="array" ref="C254">_xlfn.LET(
    _xlpm.ab, _xlfn.REGEXEXTRACT(Mod_Tests[[#This Row],[input]], "=\s*\{?\K[\w,; .-]*", 1),
    _xlpm.a, INDEX(_xlpm.ab,1,1),
    _xlpm.b, INDEX(_xlpm.ab,1,2),
    BigInt.Mod(_xlpm.a, _xlpm.b)
)</f>
        <v>1</v>
      </c>
      <c r="D254" s="9" t="b">
        <f>IF(ISERROR(Mod_Tests[[#This Row],[expected]]),
    ERROR.TYPE(Mod_Tests[[#This Row],[expected]]) = ERROR.TYPE(Mod_Tests[[#This Row],[output]]),
    Mod_Tests[[#This Row],[expected]] = Mod_Tests[[#This Row],[output]]
)</f>
        <v>1</v>
      </c>
      <c r="E254" s="9" t="s">
        <v>363</v>
      </c>
    </row>
    <row r="255" spans="1:5" ht="29" hidden="1" outlineLevel="1">
      <c r="A255" s="12" t="s">
        <v>325</v>
      </c>
      <c r="B255" s="8" t="s">
        <v>54</v>
      </c>
      <c r="C255" s="9" t="str" cm="1">
        <f t="array" ref="C255">_xlfn.LET(
    _xlpm.ab, _xlfn.REGEXEXTRACT(Mod_Tests[[#This Row],[input]], "=\s*\{?\K[\w,; .-]*", 1),
    _xlpm.a, INDEX(_xlpm.ab,1,1),
    _xlpm.b, INDEX(_xlpm.ab,1,2),
    BigInt.Mod(_xlpm.a, _xlpm.b)
)</f>
        <v>-1</v>
      </c>
      <c r="D255" s="9" t="b">
        <f>IF(ISERROR(Mod_Tests[[#This Row],[expected]]),
    ERROR.TYPE(Mod_Tests[[#This Row],[expected]]) = ERROR.TYPE(Mod_Tests[[#This Row],[output]]),
    Mod_Tests[[#This Row],[expected]] = Mod_Tests[[#This Row],[output]]
)</f>
        <v>1</v>
      </c>
      <c r="E255" s="9" t="s">
        <v>364</v>
      </c>
    </row>
    <row r="256" spans="1:5" ht="29" hidden="1" outlineLevel="1">
      <c r="A256" s="12" t="s">
        <v>326</v>
      </c>
      <c r="B256" s="8" t="s">
        <v>49</v>
      </c>
      <c r="C256" s="9" t="str" cm="1">
        <f t="array" ref="C256">_xlfn.LET(
    _xlpm.ab, _xlfn.REGEXEXTRACT(Mod_Tests[[#This Row],[input]], "=\s*\{?\K[\w,; .-]*", 1),
    _xlpm.a, INDEX(_xlpm.ab,1,1),
    _xlpm.b, INDEX(_xlpm.ab,1,2),
    BigInt.Mod(_xlpm.a, _xlpm.b)
)</f>
        <v>5</v>
      </c>
      <c r="D256" s="9" t="b">
        <f>IF(ISERROR(Mod_Tests[[#This Row],[expected]]),
    ERROR.TYPE(Mod_Tests[[#This Row],[expected]]) = ERROR.TYPE(Mod_Tests[[#This Row],[output]]),
    Mod_Tests[[#This Row],[expected]] = Mod_Tests[[#This Row],[output]]
)</f>
        <v>1</v>
      </c>
      <c r="E256" s="9" t="s">
        <v>365</v>
      </c>
    </row>
    <row r="257" spans="1:5" ht="29" hidden="1" outlineLevel="1">
      <c r="A257" s="12" t="s">
        <v>327</v>
      </c>
      <c r="B257" s="8" t="s">
        <v>4</v>
      </c>
      <c r="C257" s="9" t="str" cm="1">
        <f t="array" ref="C257">_xlfn.LET(
    _xlpm.ab, _xlfn.REGEXEXTRACT(Mod_Tests[[#This Row],[input]], "=\s*\{?\K[\w,; .-]*", 1),
    _xlpm.a, INDEX(_xlpm.ab,1,1),
    _xlpm.b, INDEX(_xlpm.ab,1,2),
    BigInt.Mod(_xlpm.a, _xlpm.b)
)</f>
        <v>0</v>
      </c>
      <c r="D257" s="9" t="b">
        <f>IF(ISERROR(Mod_Tests[[#This Row],[expected]]),
    ERROR.TYPE(Mod_Tests[[#This Row],[expected]]) = ERROR.TYPE(Mod_Tests[[#This Row],[output]]),
    Mod_Tests[[#This Row],[expected]] = Mod_Tests[[#This Row],[output]]
)</f>
        <v>1</v>
      </c>
      <c r="E257" s="9" t="s">
        <v>345</v>
      </c>
    </row>
    <row r="258" spans="1:5" ht="29" hidden="1" outlineLevel="1">
      <c r="A258" s="12" t="s">
        <v>328</v>
      </c>
      <c r="B258" s="9" t="e">
        <v>#DIV/0!</v>
      </c>
      <c r="C258" s="9" t="e" cm="1">
        <f t="array" ref="C258">_xlfn.LET(
    _xlpm.ab, _xlfn.REGEXEXTRACT(Mod_Tests[[#This Row],[input]], "=\s*\{?\K[\w,; .-]*", 1),
    _xlpm.a, INDEX(_xlpm.ab,1,1),
    _xlpm.b, INDEX(_xlpm.ab,1,2),
    BigInt.Mod(_xlpm.a, _xlpm.b)
)</f>
        <v>#DIV/0!</v>
      </c>
      <c r="D258" s="9" t="b">
        <f>IF(ISERROR(Mod_Tests[[#This Row],[expected]]),
    ERROR.TYPE(Mod_Tests[[#This Row],[expected]]) = ERROR.TYPE(Mod_Tests[[#This Row],[output]]),
    Mod_Tests[[#This Row],[expected]] = Mod_Tests[[#This Row],[output]]
)</f>
        <v>1</v>
      </c>
      <c r="E258" s="9" t="s">
        <v>374</v>
      </c>
    </row>
    <row r="259" spans="1:5" ht="29" hidden="1" outlineLevel="1">
      <c r="A259" s="12" t="s">
        <v>366</v>
      </c>
      <c r="B259" s="8" t="s">
        <v>318</v>
      </c>
      <c r="C259" s="9" t="str" cm="1">
        <f t="array" ref="C259">_xlfn.LET(
    _xlpm.ab, _xlfn.REGEXEXTRACT(Mod_Tests[[#This Row],[input]], "=\s*\{?\K[\w,; .-]*", 1),
    _xlpm.a, INDEX(_xlpm.ab,1,1),
    _xlpm.b, INDEX(_xlpm.ab,1,2),
    BigInt.Mod(_xlpm.a, _xlpm.b)
)</f>
        <v>-33</v>
      </c>
      <c r="D259" s="9" t="b">
        <f>IF(ISERROR(Mod_Tests[[#This Row],[expected]]),
    ERROR.TYPE(Mod_Tests[[#This Row],[expected]]) = ERROR.TYPE(Mod_Tests[[#This Row],[output]]),
    Mod_Tests[[#This Row],[expected]] = Mod_Tests[[#This Row],[output]]
)</f>
        <v>1</v>
      </c>
      <c r="E259" s="9" t="s">
        <v>367</v>
      </c>
    </row>
    <row r="260" spans="1:5" ht="29" hidden="1" outlineLevel="1">
      <c r="A260" s="12" t="s">
        <v>330</v>
      </c>
      <c r="B260" s="8" t="s">
        <v>350</v>
      </c>
      <c r="C260" s="9" t="str" cm="1">
        <f t="array" ref="C260">_xlfn.LET(
    _xlpm.ab, _xlfn.REGEXEXTRACT(Mod_Tests[[#This Row],[input]], "=\s*\{?\K[\w,; .-]*", 1),
    _xlpm.a, INDEX(_xlpm.ab,1,1),
    _xlpm.b, INDEX(_xlpm.ab,1,2),
    BigInt.Mod(_xlpm.a, _xlpm.b)
)</f>
        <v>111111201</v>
      </c>
      <c r="D260" s="9" t="b">
        <f>IF(ISERROR(Mod_Tests[[#This Row],[expected]]),
    ERROR.TYPE(Mod_Tests[[#This Row],[expected]]) = ERROR.TYPE(Mod_Tests[[#This Row],[output]]),
    Mod_Tests[[#This Row],[expected]] = Mod_Tests[[#This Row],[output]]
)</f>
        <v>1</v>
      </c>
      <c r="E260" s="9" t="s">
        <v>347</v>
      </c>
    </row>
    <row r="261" spans="1:5" collapsed="1">
      <c r="A261" s="12"/>
      <c r="B261" s="9"/>
      <c r="C261" s="9"/>
      <c r="D261" s="9" t="b">
        <f>AND(Mod_Tests[passing])</f>
        <v>1</v>
      </c>
      <c r="E261" s="9"/>
    </row>
    <row r="262" spans="1:5" ht="15" thickBot="1"/>
    <row r="263" spans="1:5" ht="18.5">
      <c r="A263" s="5" t="s">
        <v>438</v>
      </c>
      <c r="B263" s="5"/>
      <c r="C263" s="5"/>
      <c r="D263" s="5"/>
      <c r="E263" s="5"/>
    </row>
    <row r="264" spans="1:5">
      <c r="A264" t="s">
        <v>110</v>
      </c>
      <c r="B264" t="s">
        <v>35</v>
      </c>
      <c r="C264" t="s">
        <v>36</v>
      </c>
      <c r="D264" s="6" t="s">
        <v>48</v>
      </c>
      <c r="E264" t="s">
        <v>37</v>
      </c>
    </row>
    <row r="265" spans="1:5" ht="43.5" hidden="1" outlineLevel="1">
      <c r="A265" s="12" t="s">
        <v>376</v>
      </c>
      <c r="B265" s="8" t="s">
        <v>351</v>
      </c>
      <c r="C265" s="9" t="str">
        <f>_xlfn.LET(
    _xlpm.ab_flag, _xlfn.REGEXEXTRACT(DivMod_Tests[[#This Row],[input]], "=\s*\{?\K[\w,; .-]*", 1),
    _xlpm.a, INDEX(_xlpm.ab_flag,1,1),
    _xlpm.b, INDEX(_xlpm.ab_flag,1,2),
    _xlpm.use_floor, INDEX(_xlpm.ab_flag,1,3),
    _xlfn.ARRAYTOTEXT(BigInt.DivMod(_xlpm.a, _xlpm.b, _xlpm.use_floor), 1)
)</f>
        <v>{"12";"0"}</v>
      </c>
      <c r="D265" s="9" t="b">
        <f>IF(ISERROR(DivMod_Tests[[#This Row],[expected]]),
    ERROR.TYPE(DivMod_Tests[[#This Row],[expected]]) = ERROR.TYPE(DivMod_Tests[[#This Row],[output]]),
    DivMod_Tests[[#This Row],[expected]] = DivMod_Tests[[#This Row],[output]]
)</f>
        <v>1</v>
      </c>
      <c r="E265" s="9" t="s">
        <v>368</v>
      </c>
    </row>
    <row r="266" spans="1:5" ht="43.5" hidden="1" outlineLevel="1">
      <c r="A266" s="12" t="s">
        <v>377</v>
      </c>
      <c r="B266" s="8" t="s">
        <v>352</v>
      </c>
      <c r="C266" s="9" t="str">
        <f>_xlfn.LET(
    _xlpm.ab_flag, _xlfn.REGEXEXTRACT(DivMod_Tests[[#This Row],[input]], "=\s*\{?\K[\w,; .-]*", 1),
    _xlpm.a, INDEX(_xlpm.ab_flag,1,1),
    _xlpm.b, INDEX(_xlpm.ab_flag,1,2),
    _xlpm.use_floor, INDEX(_xlpm.ab_flag,1,3),
    _xlfn.ARRAYTOTEXT(BigInt.DivMod(_xlpm.a, _xlpm.b, _xlpm.use_floor), 1)
)</f>
        <v>{"3";"4"}</v>
      </c>
      <c r="D266" s="9" t="b">
        <f>IF(ISERROR(DivMod_Tests[[#This Row],[expected]]),
    ERROR.TYPE(DivMod_Tests[[#This Row],[expected]]) = ERROR.TYPE(DivMod_Tests[[#This Row],[output]]),
    DivMod_Tests[[#This Row],[expected]] = DivMod_Tests[[#This Row],[output]]
)</f>
        <v>1</v>
      </c>
      <c r="E266" s="9" t="s">
        <v>369</v>
      </c>
    </row>
    <row r="267" spans="1:5" ht="43.5" hidden="1" outlineLevel="1">
      <c r="A267" s="12" t="s">
        <v>389</v>
      </c>
      <c r="B267" s="8" t="s">
        <v>352</v>
      </c>
      <c r="C267" s="9" t="str">
        <f>_xlfn.LET(
    _xlpm.ab_flag, _xlfn.REGEXEXTRACT(DivMod_Tests[[#This Row],[input]], "=\s*\{?\K[\w,; .-]*", 1),
    _xlpm.a, INDEX(_xlpm.ab_flag,1,1),
    _xlpm.b, INDEX(_xlpm.ab_flag,1,2),
    _xlpm.use_floor, INDEX(_xlpm.ab_flag,1,3),
    _xlfn.ARRAYTOTEXT(BigInt.DivMod(_xlpm.a, _xlpm.b, _xlpm.use_floor), 1)
)</f>
        <v>{"3";"4"}</v>
      </c>
      <c r="D267" s="9" t="b">
        <f>IF(ISERROR(DivMod_Tests[[#This Row],[expected]]),
    ERROR.TYPE(DivMod_Tests[[#This Row],[expected]]) = ERROR.TYPE(DivMod_Tests[[#This Row],[output]]),
    DivMod_Tests[[#This Row],[expected]] = DivMod_Tests[[#This Row],[output]]
)</f>
        <v>1</v>
      </c>
      <c r="E267" s="9" t="s">
        <v>393</v>
      </c>
    </row>
    <row r="268" spans="1:5" ht="43.5" hidden="1" outlineLevel="1">
      <c r="A268" s="12" t="s">
        <v>391</v>
      </c>
      <c r="B268" s="8" t="s">
        <v>390</v>
      </c>
      <c r="C268" s="9" t="str">
        <f>_xlfn.LET(
    _xlpm.ab_flag, _xlfn.REGEXEXTRACT(DivMod_Tests[[#This Row],[input]], "=\s*\{?\K[\w,; .-]*", 1),
    _xlpm.a, INDEX(_xlpm.ab_flag,1,1),
    _xlpm.b, INDEX(_xlpm.ab_flag,1,2),
    _xlpm.use_floor, INDEX(_xlpm.ab_flag,1,3),
    _xlfn.ARRAYTOTEXT(BigInt.DivMod(_xlpm.a, _xlpm.b, _xlpm.use_floor), 1)
)</f>
        <v>{"-4";"0"}</v>
      </c>
      <c r="D268" s="9" t="b">
        <f>IF(ISERROR(DivMod_Tests[[#This Row],[expected]]),
    ERROR.TYPE(DivMod_Tests[[#This Row],[expected]]) = ERROR.TYPE(DivMod_Tests[[#This Row],[output]]),
    DivMod_Tests[[#This Row],[expected]] = DivMod_Tests[[#This Row],[output]]
)</f>
        <v>1</v>
      </c>
      <c r="E268" s="9" t="s">
        <v>392</v>
      </c>
    </row>
    <row r="269" spans="1:5" ht="43.5" hidden="1" outlineLevel="1">
      <c r="A269" s="12" t="s">
        <v>378</v>
      </c>
      <c r="B269" s="8" t="s">
        <v>353</v>
      </c>
      <c r="C269" s="9" t="str">
        <f>_xlfn.LET(
    _xlpm.ab_flag, _xlfn.REGEXEXTRACT(DivMod_Tests[[#This Row],[input]], "=\s*\{?\K[\w,; .-]*", 1),
    _xlpm.a, INDEX(_xlpm.ab_flag,1,1),
    _xlpm.b, INDEX(_xlpm.ab_flag,1,2),
    _xlpm.use_floor, INDEX(_xlpm.ab_flag,1,3),
    _xlfn.ARRAYTOTEXT(BigInt.DivMod(_xlpm.a, _xlpm.b, _xlpm.use_floor), 1)
)</f>
        <v>{"-33";"-1"}</v>
      </c>
      <c r="D269" s="9" t="b">
        <f>IF(ISERROR(DivMod_Tests[[#This Row],[expected]]),
    ERROR.TYPE(DivMod_Tests[[#This Row],[expected]]) = ERROR.TYPE(DivMod_Tests[[#This Row],[output]]),
    DivMod_Tests[[#This Row],[expected]] = DivMod_Tests[[#This Row],[output]]
)</f>
        <v>1</v>
      </c>
      <c r="E269" s="9" t="s">
        <v>388</v>
      </c>
    </row>
    <row r="270" spans="1:5" ht="43.5" hidden="1" outlineLevel="1">
      <c r="A270" s="12" t="s">
        <v>386</v>
      </c>
      <c r="B270" s="8" t="s">
        <v>387</v>
      </c>
      <c r="C270" s="9" t="str">
        <f>_xlfn.LET(
    _xlpm.ab_flag, _xlfn.REGEXEXTRACT(DivMod_Tests[[#This Row],[input]], "=\s*\{?\K[\w,; .-]*", 1),
    _xlpm.a, INDEX(_xlpm.ab_flag,1,1),
    _xlpm.b, INDEX(_xlpm.ab_flag,1,2),
    _xlpm.use_floor, INDEX(_xlpm.ab_flag,1,3),
    _xlfn.ARRAYTOTEXT(BigInt.DivMod(_xlpm.a, _xlpm.b, _xlpm.use_floor), 1)
)</f>
        <v>{"-34";"-2"}</v>
      </c>
      <c r="D270" s="9" t="b">
        <f>IF(ISERROR(DivMod_Tests[[#This Row],[expected]]),
    ERROR.TYPE(DivMod_Tests[[#This Row],[expected]]) = ERROR.TYPE(DivMod_Tests[[#This Row],[output]]),
    DivMod_Tests[[#This Row],[expected]] = DivMod_Tests[[#This Row],[output]]
)</f>
        <v>1</v>
      </c>
      <c r="E270" s="9" t="s">
        <v>394</v>
      </c>
    </row>
    <row r="271" spans="1:5" ht="43.5" hidden="1" outlineLevel="1">
      <c r="A271" s="12" t="s">
        <v>379</v>
      </c>
      <c r="B271" s="8" t="s">
        <v>354</v>
      </c>
      <c r="C271" s="9" t="str">
        <f>_xlfn.LET(
    _xlpm.ab_flag, _xlfn.REGEXEXTRACT(DivMod_Tests[[#This Row],[input]], "=\s*\{?\K[\w,; .-]*", 1),
    _xlpm.a, INDEX(_xlpm.ab_flag,1,1),
    _xlpm.b, INDEX(_xlpm.ab_flag,1,2),
    _xlpm.use_floor, INDEX(_xlpm.ab_flag,1,3),
    _xlfn.ARRAYTOTEXT(BigInt.DivMod(_xlpm.a, _xlpm.b, _xlpm.use_floor), 1)
)</f>
        <v>{"-33";"1"}</v>
      </c>
      <c r="D271" s="9" t="b">
        <f>IF(ISERROR(DivMod_Tests[[#This Row],[expected]]),
    ERROR.TYPE(DivMod_Tests[[#This Row],[expected]]) = ERROR.TYPE(DivMod_Tests[[#This Row],[output]]),
    DivMod_Tests[[#This Row],[expected]] = DivMod_Tests[[#This Row],[output]]
)</f>
        <v>1</v>
      </c>
      <c r="E271" s="9" t="s">
        <v>371</v>
      </c>
    </row>
    <row r="272" spans="1:5" ht="43.5" hidden="1" outlineLevel="1">
      <c r="A272" s="12" t="s">
        <v>386</v>
      </c>
      <c r="B272" s="8" t="s">
        <v>387</v>
      </c>
      <c r="C272" s="9" t="str">
        <f>_xlfn.LET(
    _xlpm.ab_flag, _xlfn.REGEXEXTRACT(DivMod_Tests[[#This Row],[input]], "=\s*\{?\K[\w,; .-]*", 1),
    _xlpm.a, INDEX(_xlpm.ab_flag,1,1),
    _xlpm.b, INDEX(_xlpm.ab_flag,1,2),
    _xlpm.use_floor, INDEX(_xlpm.ab_flag,1,3),
    _xlfn.ARRAYTOTEXT(BigInt.DivMod(_xlpm.a, _xlpm.b, _xlpm.use_floor), 1)
)</f>
        <v>{"-34";"-2"}</v>
      </c>
      <c r="D272" s="9" t="b">
        <f>IF(ISERROR(DivMod_Tests[[#This Row],[expected]]),
    ERROR.TYPE(DivMod_Tests[[#This Row],[expected]]) = ERROR.TYPE(DivMod_Tests[[#This Row],[output]]),
    DivMod_Tests[[#This Row],[expected]] = DivMod_Tests[[#This Row],[output]]
)</f>
        <v>1</v>
      </c>
      <c r="E272" s="9" t="s">
        <v>395</v>
      </c>
    </row>
    <row r="273" spans="1:5" ht="43.5" hidden="1" outlineLevel="1">
      <c r="A273" s="12" t="s">
        <v>380</v>
      </c>
      <c r="B273" s="8" t="s">
        <v>355</v>
      </c>
      <c r="C273" s="9" t="str">
        <f>_xlfn.LET(
    _xlpm.ab_flag, _xlfn.REGEXEXTRACT(DivMod_Tests[[#This Row],[input]], "=\s*\{?\K[\w,; .-]*", 1),
    _xlpm.a, INDEX(_xlpm.ab_flag,1,1),
    _xlpm.b, INDEX(_xlpm.ab_flag,1,2),
    _xlpm.use_floor, INDEX(_xlpm.ab_flag,1,3),
    _xlfn.ARRAYTOTEXT(BigInt.DivMod(_xlpm.a, _xlpm.b, _xlpm.use_floor), 1)
)</f>
        <v>{"33";"-1"}</v>
      </c>
      <c r="D273" s="9" t="b">
        <f>IF(ISERROR(DivMod_Tests[[#This Row],[expected]]),
    ERROR.TYPE(DivMod_Tests[[#This Row],[expected]]) = ERROR.TYPE(DivMod_Tests[[#This Row],[output]]),
    DivMod_Tests[[#This Row],[expected]] = DivMod_Tests[[#This Row],[output]]
)</f>
        <v>1</v>
      </c>
      <c r="E273" s="9" t="s">
        <v>370</v>
      </c>
    </row>
    <row r="274" spans="1:5" ht="43.5" hidden="1" outlineLevel="1">
      <c r="A274" s="12" t="s">
        <v>396</v>
      </c>
      <c r="B274" s="8" t="s">
        <v>355</v>
      </c>
      <c r="C274" s="9" t="str">
        <f>_xlfn.LET(
    _xlpm.ab_flag, _xlfn.REGEXEXTRACT(DivMod_Tests[[#This Row],[input]], "=\s*\{?\K[\w,; .-]*", 1),
    _xlpm.a, INDEX(_xlpm.ab_flag,1,1),
    _xlpm.b, INDEX(_xlpm.ab_flag,1,2),
    _xlpm.use_floor, INDEX(_xlpm.ab_flag,1,3),
    _xlfn.ARRAYTOTEXT(BigInt.DivMod(_xlpm.a, _xlpm.b, _xlpm.use_floor), 1)
)</f>
        <v>{"33";"-1"}</v>
      </c>
      <c r="D274" s="9" t="b">
        <f>IF(ISERROR(DivMod_Tests[[#This Row],[expected]]),
    ERROR.TYPE(DivMod_Tests[[#This Row],[expected]]) = ERROR.TYPE(DivMod_Tests[[#This Row],[output]]),
    DivMod_Tests[[#This Row],[expected]] = DivMod_Tests[[#This Row],[output]]
)</f>
        <v>1</v>
      </c>
      <c r="E274" s="9" t="s">
        <v>397</v>
      </c>
    </row>
    <row r="275" spans="1:5" ht="43.5" hidden="1" outlineLevel="1">
      <c r="A275" s="12" t="s">
        <v>381</v>
      </c>
      <c r="B275" s="8" t="s">
        <v>356</v>
      </c>
      <c r="C275" s="9" t="str">
        <f>_xlfn.LET(
    _xlpm.ab_flag, _xlfn.REGEXEXTRACT(DivMod_Tests[[#This Row],[input]], "=\s*\{?\K[\w,; .-]*", 1),
    _xlpm.a, INDEX(_xlpm.ab_flag,1,1),
    _xlpm.b, INDEX(_xlpm.ab_flag,1,2),
    _xlpm.use_floor, INDEX(_xlpm.ab_flag,1,3),
    _xlfn.ARRAYTOTEXT(BigInt.DivMod(_xlpm.a, _xlpm.b, _xlpm.use_floor), 1)
)</f>
        <v>{"0";"5"}</v>
      </c>
      <c r="D275" s="9" t="b">
        <f>IF(ISERROR(DivMod_Tests[[#This Row],[expected]]),
    ERROR.TYPE(DivMod_Tests[[#This Row],[expected]]) = ERROR.TYPE(DivMod_Tests[[#This Row],[output]]),
    DivMod_Tests[[#This Row],[expected]] = DivMod_Tests[[#This Row],[output]]
)</f>
        <v>1</v>
      </c>
      <c r="E275" s="9" t="s">
        <v>373</v>
      </c>
    </row>
    <row r="276" spans="1:5" ht="43.5" hidden="1" outlineLevel="1">
      <c r="A276" s="12" t="s">
        <v>382</v>
      </c>
      <c r="B276" s="8" t="s">
        <v>357</v>
      </c>
      <c r="C276" s="9" t="str">
        <f>_xlfn.LET(
    _xlpm.ab_flag, _xlfn.REGEXEXTRACT(DivMod_Tests[[#This Row],[input]], "=\s*\{?\K[\w,; .-]*", 1),
    _xlpm.a, INDEX(_xlpm.ab_flag,1,1),
    _xlpm.b, INDEX(_xlpm.ab_flag,1,2),
    _xlpm.use_floor, INDEX(_xlpm.ab_flag,1,3),
    _xlfn.ARRAYTOTEXT(BigInt.DivMod(_xlpm.a, _xlpm.b, _xlpm.use_floor), 1)
)</f>
        <v>{"0";"0"}</v>
      </c>
      <c r="D276" s="9" t="b">
        <f>IF(ISERROR(DivMod_Tests[[#This Row],[expected]]),
    ERROR.TYPE(DivMod_Tests[[#This Row],[expected]]) = ERROR.TYPE(DivMod_Tests[[#This Row],[output]]),
    DivMod_Tests[[#This Row],[expected]] = DivMod_Tests[[#This Row],[output]]
)</f>
        <v>1</v>
      </c>
      <c r="E276" s="9" t="s">
        <v>345</v>
      </c>
    </row>
    <row r="277" spans="1:5" ht="43.5" hidden="1" outlineLevel="1">
      <c r="A277" s="12" t="s">
        <v>383</v>
      </c>
      <c r="B277" s="9" t="e">
        <v>#DIV/0!</v>
      </c>
      <c r="C277" s="9" t="e">
        <f>_xlfn.LET(
    _xlpm.ab_flag, _xlfn.REGEXEXTRACT(DivMod_Tests[[#This Row],[input]], "=\s*\{?\K[\w,; .-]*", 1),
    _xlpm.a, INDEX(_xlpm.ab_flag,1,1),
    _xlpm.b, INDEX(_xlpm.ab_flag,1,2),
    _xlpm.use_floor, INDEX(_xlpm.ab_flag,1,3),
    _xlfn.ARRAYTOTEXT(BigInt.DivMod(_xlpm.a, _xlpm.b, _xlpm.use_floor), 1)
)</f>
        <v>#DIV/0!</v>
      </c>
      <c r="D277" s="9" t="b">
        <f>IF(ISERROR(DivMod_Tests[[#This Row],[expected]]),
    ERROR.TYPE(DivMod_Tests[[#This Row],[expected]]) = ERROR.TYPE(DivMod_Tests[[#This Row],[output]]),
    DivMod_Tests[[#This Row],[expected]] = DivMod_Tests[[#This Row],[output]]
)</f>
        <v>1</v>
      </c>
      <c r="E277" s="9" t="s">
        <v>374</v>
      </c>
    </row>
    <row r="278" spans="1:5" ht="43.5" hidden="1" outlineLevel="1">
      <c r="A278" s="12" t="s">
        <v>384</v>
      </c>
      <c r="B278" s="8" t="s">
        <v>358</v>
      </c>
      <c r="C278" s="9" t="str">
        <f>_xlfn.LET(
    _xlpm.ab_flag, _xlfn.REGEXEXTRACT(DivMod_Tests[[#This Row],[input]], "=\s*\{?\K[\w,; .-]*", 1),
    _xlpm.a, INDEX(_xlpm.ab_flag,1,1),
    _xlpm.b, INDEX(_xlpm.ab_flag,1,2),
    _xlpm.use_floor, INDEX(_xlpm.ab_flag,1,3),
    _xlfn.ARRAYTOTEXT(BigInt.DivMod(_xlpm.a, _xlpm.b, _xlpm.use_floor), 1)
)</f>
        <v>{"-12";"0"}</v>
      </c>
      <c r="D278" s="9" t="b">
        <f>IF(ISERROR(DivMod_Tests[[#This Row],[expected]]),
    ERROR.TYPE(DivMod_Tests[[#This Row],[expected]]) = ERROR.TYPE(DivMod_Tests[[#This Row],[output]]),
    DivMod_Tests[[#This Row],[expected]] = DivMod_Tests[[#This Row],[output]]
)</f>
        <v>1</v>
      </c>
      <c r="E278" s="9" t="s">
        <v>375</v>
      </c>
    </row>
    <row r="279" spans="1:5" ht="43.5" hidden="1" outlineLevel="1">
      <c r="A279" s="12" t="s">
        <v>385</v>
      </c>
      <c r="B279" s="8" t="s">
        <v>359</v>
      </c>
      <c r="C279" s="9" t="str">
        <f>_xlfn.LET(
    _xlpm.ab_flag, _xlfn.REGEXEXTRACT(DivMod_Tests[[#This Row],[input]], "=\s*\{?\K[\w,; .-]*", 1),
    _xlpm.a, INDEX(_xlpm.ab_flag,1,1),
    _xlpm.b, INDEX(_xlpm.ab_flag,1,2),
    _xlpm.use_floor, INDEX(_xlpm.ab_flag,1,3),
    _xlfn.ARRAYTOTEXT(BigInt.DivMod(_xlpm.a, _xlpm.b, _xlpm.use_floor), 1)
)</f>
        <v>{"8000000080";"111111201"}</v>
      </c>
      <c r="D279" s="9" t="b">
        <f>IF(ISERROR(DivMod_Tests[[#This Row],[expected]]),
    ERROR.TYPE(DivMod_Tests[[#This Row],[expected]]) = ERROR.TYPE(DivMod_Tests[[#This Row],[output]]),
    DivMod_Tests[[#This Row],[expected]] = DivMod_Tests[[#This Row],[output]]
)</f>
        <v>1</v>
      </c>
      <c r="E279" s="9" t="s">
        <v>347</v>
      </c>
    </row>
    <row r="280" spans="1:5" collapsed="1">
      <c r="A280" s="12"/>
      <c r="B280" s="9"/>
      <c r="C280" s="9"/>
      <c r="D280" s="9" t="b">
        <f>AND(DivMod_Tests[passing])</f>
        <v>1</v>
      </c>
      <c r="E280" s="9"/>
    </row>
    <row r="281" spans="1:5" ht="15" thickBot="1"/>
    <row r="282" spans="1:5" ht="18.5">
      <c r="A282" s="5" t="s">
        <v>425</v>
      </c>
      <c r="B282" s="5"/>
      <c r="C282" s="5"/>
      <c r="D282" s="5"/>
      <c r="E282" s="5"/>
    </row>
    <row r="283" spans="1:5">
      <c r="A283" t="s">
        <v>110</v>
      </c>
      <c r="B283" t="s">
        <v>35</v>
      </c>
      <c r="C283" t="s">
        <v>36</v>
      </c>
      <c r="D283" t="s">
        <v>48</v>
      </c>
      <c r="E283" t="s">
        <v>37</v>
      </c>
    </row>
    <row r="284" spans="1:5" ht="29" hidden="1" outlineLevel="1">
      <c r="A284" s="12" t="s">
        <v>404</v>
      </c>
      <c r="B284" s="12" t="s">
        <v>409</v>
      </c>
      <c r="C284" s="12" t="str" cm="1">
        <f t="array" ref="C284">_xlfn.LET(
    _xlpm.bk, _xlfn.REGEXEXTRACT(Table25[[#This Row],[input]], "=\s*\{?\K[\w,; .-]*", 1),
    _xlpm.b, INDEX(_xlpm.bk,1,1),
    _xlpm.k, --INDEX(_xlpm.bk,1,2),
    _xlpm.limbs_b, --_xlfn.TEXTSPLIT(_xlpm.b,",",";"),
    _xlpm.output, core_BigInt.NewtonRaphsonSeed(_xlpm.limbs_b, _xlpm.k),
    _xlfn.ARRAYTOTEXT(_xlpm.output, 1)
)</f>
        <v>{3333333;3333333}</v>
      </c>
      <c r="D284" s="9" t="b">
        <f>IF(ISERROR(Table25[[#This Row],[expected]]),
    ERROR.TYPE(Table25[[#This Row],[expected]]) = ERROR.TYPE(Table25[[#This Row],[output]]),
    Table25[[#This Row],[expected]] = Table25[[#This Row],[output]]
)</f>
        <v>1</v>
      </c>
      <c r="E284" s="9" t="s">
        <v>399</v>
      </c>
    </row>
    <row r="285" spans="1:5" ht="29" hidden="1" outlineLevel="1">
      <c r="A285" s="12" t="s">
        <v>405</v>
      </c>
      <c r="B285" s="12" t="s">
        <v>410</v>
      </c>
      <c r="C285" s="12" t="str" cm="1">
        <f t="array" ref="C285">_xlfn.LET(
    _xlpm.bk, _xlfn.REGEXEXTRACT(Table25[[#This Row],[input]], "=\s*\{?\K[\w,; .-]*", 1),
    _xlpm.b, INDEX(_xlpm.bk,1,1),
    _xlpm.k, --INDEX(_xlpm.bk,1,2),
    _xlpm.limbs_b, --_xlfn.TEXTSPLIT(_xlpm.b,",",";"),
    _xlpm.output, core_BigInt.NewtonRaphsonSeed(_xlpm.limbs_b, _xlpm.k),
    _xlfn.ARRAYTOTEXT(_xlpm.output, 1)
)</f>
        <v>{0;1250000}</v>
      </c>
      <c r="D285" s="9" t="b">
        <f>IF(ISERROR(Table25[[#This Row],[expected]]),
    ERROR.TYPE(Table25[[#This Row],[expected]]) = ERROR.TYPE(Table25[[#This Row],[output]]),
    Table25[[#This Row],[expected]] = Table25[[#This Row],[output]]
)</f>
        <v>1</v>
      </c>
      <c r="E285" s="9" t="s">
        <v>400</v>
      </c>
    </row>
    <row r="286" spans="1:5" ht="29" hidden="1" outlineLevel="1">
      <c r="A286" s="12" t="s">
        <v>406</v>
      </c>
      <c r="B286" s="12" t="s">
        <v>413</v>
      </c>
      <c r="C286" s="12" t="str" cm="1">
        <f t="array" ref="C286">_xlfn.LET(
    _xlpm.bk, _xlfn.REGEXEXTRACT(Table25[[#This Row],[input]], "=\s*\{?\K[\w,; .-]*", 1),
    _xlpm.b, INDEX(_xlpm.bk,1,1),
    _xlpm.k, --INDEX(_xlpm.bk,1,2),
    _xlpm.limbs_b, --_xlfn.TEXTSPLIT(_xlpm.b,",",";"),
    _xlpm.output, core_BigInt.NewtonRaphsonSeed(_xlpm.limbs_b, _xlpm.k),
    _xlfn.ARRAYTOTEXT(_xlpm.output, 1)
)</f>
        <v>{807805;4520610;729000;8100000}</v>
      </c>
      <c r="D286" s="9" t="b">
        <f>IF(ISERROR(Table25[[#This Row],[expected]]),
    ERROR.TYPE(Table25[[#This Row],[expected]]) = ERROR.TYPE(Table25[[#This Row],[output]]),
    Table25[[#This Row],[expected]] = Table25[[#This Row],[output]]
)</f>
        <v>1</v>
      </c>
      <c r="E286" s="9" t="s">
        <v>401</v>
      </c>
    </row>
    <row r="287" spans="1:5" ht="29" hidden="1" outlineLevel="1">
      <c r="A287" s="12" t="s">
        <v>407</v>
      </c>
      <c r="B287" s="12" t="s">
        <v>411</v>
      </c>
      <c r="C287" s="12" t="str" cm="1">
        <f t="array" ref="C287">_xlfn.LET(
    _xlpm.bk, _xlfn.REGEXEXTRACT(Table25[[#This Row],[input]], "=\s*\{?\K[\w,; .-]*", 1),
    _xlpm.b, INDEX(_xlpm.bk,1,1),
    _xlpm.k, --INDEX(_xlpm.bk,1,2),
    _xlpm.limbs_b, --_xlfn.TEXTSPLIT(_xlpm.b,",",";"),
    _xlpm.output, core_BigInt.NewtonRaphsonSeed(_xlpm.limbs_b, _xlpm.k),
    _xlfn.ARRAYTOTEXT(_xlpm.output, 1)
)</f>
        <v>{0;0;0;5000000}</v>
      </c>
      <c r="D287" s="9" t="b">
        <f>IF(ISERROR(Table25[[#This Row],[expected]]),
    ERROR.TYPE(Table25[[#This Row],[expected]]) = ERROR.TYPE(Table25[[#This Row],[output]]),
    Table25[[#This Row],[expected]] = Table25[[#This Row],[output]]
)</f>
        <v>1</v>
      </c>
      <c r="E287" s="9" t="s">
        <v>402</v>
      </c>
    </row>
    <row r="288" spans="1:5" ht="29" hidden="1" outlineLevel="1">
      <c r="A288" s="12" t="s">
        <v>408</v>
      </c>
      <c r="B288" s="12" t="s">
        <v>412</v>
      </c>
      <c r="C288" s="12" t="str" cm="1">
        <f t="array" ref="C288">_xlfn.LET(
    _xlpm.bk, _xlfn.REGEXEXTRACT(Table25[[#This Row],[input]], "=\s*\{?\K[\w,; .-]*", 1),
    _xlpm.b, INDEX(_xlpm.bk,1,1),
    _xlpm.k, --INDEX(_xlpm.bk,1,2),
    _xlpm.limbs_b, --_xlfn.TEXTSPLIT(_xlpm.b,",",";"),
    _xlpm.output, core_BigInt.NewtonRaphsonSeed(_xlpm.limbs_b, _xlpm.k),
    _xlfn.ARRAYTOTEXT(_xlpm.output, 1)
)</f>
        <v>{8130081;81300}</v>
      </c>
      <c r="D288" s="9" t="b">
        <f>IF(ISERROR(Table25[[#This Row],[expected]]),
    ERROR.TYPE(Table25[[#This Row],[expected]]) = ERROR.TYPE(Table25[[#This Row],[output]]),
    Table25[[#This Row],[expected]] = Table25[[#This Row],[output]]
)</f>
        <v>1</v>
      </c>
      <c r="E288" s="9" t="s">
        <v>403</v>
      </c>
    </row>
    <row r="289" spans="1:5" collapsed="1">
      <c r="D289" s="9" t="b">
        <f>AND(Table25[passing])</f>
        <v>1</v>
      </c>
    </row>
    <row r="290" spans="1:5" ht="15" thickBot="1"/>
    <row r="291" spans="1:5" ht="18.5">
      <c r="A291" s="5" t="s">
        <v>462</v>
      </c>
      <c r="B291" s="5"/>
      <c r="C291" s="5"/>
      <c r="D291" s="5"/>
      <c r="E291" s="5"/>
    </row>
    <row r="292" spans="1:5">
      <c r="A292" t="s">
        <v>110</v>
      </c>
      <c r="B292" t="s">
        <v>35</v>
      </c>
      <c r="C292" t="s">
        <v>36</v>
      </c>
      <c r="D292" s="6" t="s">
        <v>48</v>
      </c>
      <c r="E292" t="s">
        <v>37</v>
      </c>
    </row>
    <row r="293" spans="1:5" hidden="1" outlineLevel="1">
      <c r="A293" s="2" t="s">
        <v>4</v>
      </c>
      <c r="B293" t="b">
        <v>1</v>
      </c>
      <c r="C293" t="b" cm="1">
        <f t="array" ref="C293">BigInt.IsEven(IsEven_Tests[[#This Row],[input]])</f>
        <v>1</v>
      </c>
      <c r="D293" t="b">
        <f>IF(ISERROR(IsEven_Tests[[#This Row],[expected]]),
    ERROR.TYPE(IsEven_Tests[[#This Row],[expected]]) = ERROR.TYPE(IsEven_Tests[[#This Row],[output]]),
    IsEven_Tests[[#This Row],[expected]] = IsEven_Tests[[#This Row],[output]]
)</f>
        <v>1</v>
      </c>
      <c r="E293" t="s">
        <v>472</v>
      </c>
    </row>
    <row r="294" spans="1:5" hidden="1" outlineLevel="1">
      <c r="A294" s="2" t="s">
        <v>465</v>
      </c>
      <c r="B294" t="b">
        <v>1</v>
      </c>
      <c r="C294" t="b" cm="1">
        <f t="array" ref="C294">BigInt.IsEven(IsEven_Tests[[#This Row],[input]])</f>
        <v>1</v>
      </c>
      <c r="D294" t="b">
        <f>IF(ISERROR(IsEven_Tests[[#This Row],[expected]]),
    ERROR.TYPE(IsEven_Tests[[#This Row],[expected]]) = ERROR.TYPE(IsEven_Tests[[#This Row],[output]]),
    IsEven_Tests[[#This Row],[expected]] = IsEven_Tests[[#This Row],[output]]
)</f>
        <v>1</v>
      </c>
      <c r="E294" t="s">
        <v>470</v>
      </c>
    </row>
    <row r="295" spans="1:5" hidden="1" outlineLevel="1">
      <c r="A295" s="2" t="s">
        <v>466</v>
      </c>
      <c r="B295" t="b">
        <v>0</v>
      </c>
      <c r="C295" t="b" cm="1">
        <f t="array" ref="C295">BigInt.IsEven(IsEven_Tests[[#This Row],[input]])</f>
        <v>0</v>
      </c>
      <c r="D295" t="b">
        <f>IF(ISERROR(IsEven_Tests[[#This Row],[expected]]),
    ERROR.TYPE(IsEven_Tests[[#This Row],[expected]]) = ERROR.TYPE(IsEven_Tests[[#This Row],[output]]),
    IsEven_Tests[[#This Row],[expected]] = IsEven_Tests[[#This Row],[output]]
)</f>
        <v>1</v>
      </c>
      <c r="E295" t="s">
        <v>471</v>
      </c>
    </row>
    <row r="296" spans="1:5" hidden="1" outlineLevel="1">
      <c r="A296" s="2" t="s">
        <v>467</v>
      </c>
      <c r="B296" t="b">
        <v>1</v>
      </c>
      <c r="C296" t="b" cm="1">
        <f t="array" ref="C296">BigInt.IsEven(IsEven_Tests[[#This Row],[input]])</f>
        <v>1</v>
      </c>
      <c r="D296" t="b">
        <f>IF(ISERROR(IsEven_Tests[[#This Row],[expected]]),
    ERROR.TYPE(IsEven_Tests[[#This Row],[expected]]) = ERROR.TYPE(IsEven_Tests[[#This Row],[output]]),
    IsEven_Tests[[#This Row],[expected]] = IsEven_Tests[[#This Row],[output]]
)</f>
        <v>1</v>
      </c>
      <c r="E296" t="s">
        <v>473</v>
      </c>
    </row>
    <row r="297" spans="1:5" hidden="1" outlineLevel="1">
      <c r="A297" t="s">
        <v>468</v>
      </c>
      <c r="B297" t="b">
        <v>0</v>
      </c>
      <c r="C297" t="b" cm="1">
        <f t="array" ref="C297">BigInt.IsEven(IsEven_Tests[[#This Row],[input]])</f>
        <v>0</v>
      </c>
      <c r="D297" t="b">
        <f>IF(ISERROR(IsEven_Tests[[#This Row],[expected]]),
    ERROR.TYPE(IsEven_Tests[[#This Row],[expected]]) = ERROR.TYPE(IsEven_Tests[[#This Row],[output]]),
    IsEven_Tests[[#This Row],[expected]] = IsEven_Tests[[#This Row],[output]]
)</f>
        <v>1</v>
      </c>
      <c r="E297" t="s">
        <v>474</v>
      </c>
    </row>
    <row r="298" spans="1:5" hidden="1" outlineLevel="1">
      <c r="A298" s="2" t="s">
        <v>469</v>
      </c>
      <c r="B298" t="b">
        <v>1</v>
      </c>
      <c r="C298" t="b" cm="1">
        <f t="array" ref="C298">BigInt.IsEven(IsEven_Tests[[#This Row],[input]])</f>
        <v>1</v>
      </c>
      <c r="D298" t="b">
        <f>IF(ISERROR(IsEven_Tests[[#This Row],[expected]]),
    ERROR.TYPE(IsEven_Tests[[#This Row],[expected]]) = ERROR.TYPE(IsEven_Tests[[#This Row],[output]]),
    IsEven_Tests[[#This Row],[expected]] = IsEven_Tests[[#This Row],[output]]
)</f>
        <v>1</v>
      </c>
      <c r="E298" t="s">
        <v>475</v>
      </c>
    </row>
    <row r="299" spans="1:5" hidden="1" outlineLevel="1">
      <c r="A299" s="2"/>
      <c r="B299" t="b">
        <v>1</v>
      </c>
      <c r="C299" t="b" cm="1">
        <f t="array" ref="C299">BigInt.IsEven(IsEven_Tests[[#This Row],[input]])</f>
        <v>1</v>
      </c>
      <c r="D299" t="b">
        <f>IF(ISERROR(IsEven_Tests[[#This Row],[expected]]),
    ERROR.TYPE(IsEven_Tests[[#This Row],[expected]]) = ERROR.TYPE(IsEven_Tests[[#This Row],[output]]),
    IsEven_Tests[[#This Row],[expected]] = IsEven_Tests[[#This Row],[output]]
)</f>
        <v>1</v>
      </c>
      <c r="E299" t="s">
        <v>476</v>
      </c>
    </row>
    <row r="300" spans="1:5" hidden="1" outlineLevel="1">
      <c r="A300" s="2" t="s">
        <v>6</v>
      </c>
      <c r="B300" t="b">
        <v>1</v>
      </c>
      <c r="C300" t="b" cm="1">
        <f t="array" ref="C300">BigInt.IsEven(IsEven_Tests[[#This Row],[input]])</f>
        <v>1</v>
      </c>
      <c r="D300" t="b">
        <f>IF(ISERROR(IsEven_Tests[[#This Row],[expected]]),
    ERROR.TYPE(IsEven_Tests[[#This Row],[expected]]) = ERROR.TYPE(IsEven_Tests[[#This Row],[output]]),
    IsEven_Tests[[#This Row],[expected]] = IsEven_Tests[[#This Row],[output]]
)</f>
        <v>1</v>
      </c>
      <c r="E300" t="s">
        <v>477</v>
      </c>
    </row>
    <row r="301" spans="1:5" collapsed="1">
      <c r="A301" s="2"/>
      <c r="D301" t="b">
        <f>AND(IsEven_Tests[passing])</f>
        <v>1</v>
      </c>
    </row>
    <row r="302" spans="1:5" ht="15" thickBot="1"/>
    <row r="303" spans="1:5" ht="18.5">
      <c r="A303" s="5" t="s">
        <v>463</v>
      </c>
      <c r="B303" s="5"/>
      <c r="C303" s="5"/>
      <c r="D303" s="5"/>
      <c r="E303" s="5"/>
    </row>
    <row r="304" spans="1:5">
      <c r="A304" t="s">
        <v>110</v>
      </c>
      <c r="B304" t="s">
        <v>35</v>
      </c>
      <c r="C304" t="s">
        <v>36</v>
      </c>
      <c r="D304" s="6" t="s">
        <v>48</v>
      </c>
      <c r="E304" t="s">
        <v>37</v>
      </c>
    </row>
    <row r="305" spans="1:5" hidden="1" outlineLevel="1">
      <c r="A305" s="2" t="s">
        <v>4</v>
      </c>
      <c r="B305" t="b">
        <v>0</v>
      </c>
      <c r="C305" t="b" cm="1">
        <f t="array" ref="C305">BigInt.IsOdd(IsOdd_Tests[[#This Row],[input]])</f>
        <v>0</v>
      </c>
      <c r="D305" t="b">
        <f>IF(ISERROR(IsOdd_Tests[[#This Row],[expected]]),
    ERROR.TYPE(IsOdd_Tests[[#This Row],[expected]]) = ERROR.TYPE(IsOdd_Tests[[#This Row],[output]]),
    IsOdd_Tests[[#This Row],[expected]] = IsOdd_Tests[[#This Row],[output]]
)</f>
        <v>1</v>
      </c>
      <c r="E305" s="4" t="s">
        <v>478</v>
      </c>
    </row>
    <row r="306" spans="1:5" hidden="1" outlineLevel="1">
      <c r="A306" s="2" t="s">
        <v>465</v>
      </c>
      <c r="B306" t="b">
        <v>0</v>
      </c>
      <c r="C306" t="b" cm="1">
        <f t="array" ref="C306">BigInt.IsOdd(IsOdd_Tests[[#This Row],[input]])</f>
        <v>0</v>
      </c>
      <c r="D306" t="b">
        <f>IF(ISERROR(IsOdd_Tests[[#This Row],[expected]]),
    ERROR.TYPE(IsOdd_Tests[[#This Row],[expected]]) = ERROR.TYPE(IsOdd_Tests[[#This Row],[output]]),
    IsOdd_Tests[[#This Row],[expected]] = IsOdd_Tests[[#This Row],[output]]
)</f>
        <v>1</v>
      </c>
      <c r="E306" s="4" t="s">
        <v>479</v>
      </c>
    </row>
    <row r="307" spans="1:5" hidden="1" outlineLevel="1">
      <c r="A307" s="2" t="s">
        <v>466</v>
      </c>
      <c r="B307" t="b">
        <v>1</v>
      </c>
      <c r="C307" t="b" cm="1">
        <f t="array" ref="C307">BigInt.IsOdd(IsOdd_Tests[[#This Row],[input]])</f>
        <v>1</v>
      </c>
      <c r="D307" t="b">
        <f>IF(ISERROR(IsOdd_Tests[[#This Row],[expected]]),
    ERROR.TYPE(IsOdd_Tests[[#This Row],[expected]]) = ERROR.TYPE(IsOdd_Tests[[#This Row],[output]]),
    IsOdd_Tests[[#This Row],[expected]] = IsOdd_Tests[[#This Row],[output]]
)</f>
        <v>1</v>
      </c>
      <c r="E307" s="4" t="s">
        <v>480</v>
      </c>
    </row>
    <row r="308" spans="1:5" hidden="1" outlineLevel="1">
      <c r="A308" s="2" t="s">
        <v>467</v>
      </c>
      <c r="B308" t="b">
        <v>0</v>
      </c>
      <c r="C308" t="b" cm="1">
        <f t="array" ref="C308">BigInt.IsOdd(IsOdd_Tests[[#This Row],[input]])</f>
        <v>0</v>
      </c>
      <c r="D308" t="b">
        <f>IF(ISERROR(IsOdd_Tests[[#This Row],[expected]]),
    ERROR.TYPE(IsOdd_Tests[[#This Row],[expected]]) = ERROR.TYPE(IsOdd_Tests[[#This Row],[output]]),
    IsOdd_Tests[[#This Row],[expected]] = IsOdd_Tests[[#This Row],[output]]
)</f>
        <v>1</v>
      </c>
      <c r="E308" s="4" t="s">
        <v>481</v>
      </c>
    </row>
    <row r="309" spans="1:5" hidden="1" outlineLevel="1">
      <c r="A309" t="s">
        <v>468</v>
      </c>
      <c r="B309" t="b">
        <v>1</v>
      </c>
      <c r="C309" t="b" cm="1">
        <f t="array" ref="C309">BigInt.IsOdd(IsOdd_Tests[[#This Row],[input]])</f>
        <v>1</v>
      </c>
      <c r="D309" t="b">
        <f>IF(ISERROR(IsOdd_Tests[[#This Row],[expected]]),
    ERROR.TYPE(IsOdd_Tests[[#This Row],[expected]]) = ERROR.TYPE(IsOdd_Tests[[#This Row],[output]]),
    IsOdd_Tests[[#This Row],[expected]] = IsOdd_Tests[[#This Row],[output]]
)</f>
        <v>1</v>
      </c>
      <c r="E309" s="4" t="s">
        <v>482</v>
      </c>
    </row>
    <row r="310" spans="1:5" hidden="1" outlineLevel="1">
      <c r="A310" s="2" t="s">
        <v>469</v>
      </c>
      <c r="B310" t="b">
        <v>0</v>
      </c>
      <c r="C310" t="b" cm="1">
        <f t="array" ref="C310">BigInt.IsOdd(IsOdd_Tests[[#This Row],[input]])</f>
        <v>0</v>
      </c>
      <c r="D310" t="b">
        <f>IF(ISERROR(IsOdd_Tests[[#This Row],[expected]]),
    ERROR.TYPE(IsOdd_Tests[[#This Row],[expected]]) = ERROR.TYPE(IsOdd_Tests[[#This Row],[output]]),
    IsOdd_Tests[[#This Row],[expected]] = IsOdd_Tests[[#This Row],[output]]
)</f>
        <v>1</v>
      </c>
      <c r="E310" s="4" t="s">
        <v>483</v>
      </c>
    </row>
    <row r="311" spans="1:5" hidden="1" outlineLevel="1">
      <c r="A311" s="2"/>
      <c r="B311" t="b">
        <v>0</v>
      </c>
      <c r="C311" t="b" cm="1">
        <f t="array" ref="C311">BigInt.IsOdd(IsOdd_Tests[[#This Row],[input]])</f>
        <v>0</v>
      </c>
      <c r="D311" t="b">
        <f>IF(ISERROR(IsOdd_Tests[[#This Row],[expected]]),
    ERROR.TYPE(IsOdd_Tests[[#This Row],[expected]]) = ERROR.TYPE(IsOdd_Tests[[#This Row],[output]]),
    IsOdd_Tests[[#This Row],[expected]] = IsOdd_Tests[[#This Row],[output]]
)</f>
        <v>1</v>
      </c>
      <c r="E311" s="4" t="s">
        <v>484</v>
      </c>
    </row>
    <row r="312" spans="1:5" hidden="1" outlineLevel="1">
      <c r="A312" s="2" t="s">
        <v>6</v>
      </c>
      <c r="B312" t="b">
        <v>0</v>
      </c>
      <c r="C312" t="b" cm="1">
        <f t="array" ref="C312">BigInt.IsOdd(IsOdd_Tests[[#This Row],[input]])</f>
        <v>0</v>
      </c>
      <c r="D312" t="b">
        <f>IF(ISERROR(IsOdd_Tests[[#This Row],[expected]]),
    ERROR.TYPE(IsOdd_Tests[[#This Row],[expected]]) = ERROR.TYPE(IsOdd_Tests[[#This Row],[output]]),
    IsOdd_Tests[[#This Row],[expected]] = IsOdd_Tests[[#This Row],[output]]
)</f>
        <v>1</v>
      </c>
      <c r="E312" s="4" t="s">
        <v>485</v>
      </c>
    </row>
    <row r="313" spans="1:5" collapsed="1">
      <c r="A313" s="2"/>
      <c r="D313" t="b">
        <f>AND(IsOdd_Tests[passing])</f>
        <v>1</v>
      </c>
    </row>
    <row r="314" spans="1:5" ht="15" thickBot="1"/>
    <row r="315" spans="1:5" ht="18.5">
      <c r="A315" s="5" t="s">
        <v>503</v>
      </c>
      <c r="B315" s="5"/>
      <c r="C315" s="5"/>
      <c r="D315" s="5"/>
      <c r="E315" s="5"/>
    </row>
    <row r="316" spans="1:5">
      <c r="A316" t="s">
        <v>110</v>
      </c>
      <c r="B316" t="s">
        <v>35</v>
      </c>
      <c r="C316" t="s">
        <v>36</v>
      </c>
      <c r="D316" t="s">
        <v>48</v>
      </c>
      <c r="E316" t="s">
        <v>37</v>
      </c>
    </row>
    <row r="317" spans="1:5" ht="43.5" hidden="1" outlineLevel="1">
      <c r="A317" s="7" t="s">
        <v>526</v>
      </c>
      <c r="B317" s="9" t="s">
        <v>504</v>
      </c>
      <c r="C317" s="9" t="str" cm="1">
        <f t="array" ref="C317">_xlfn.LET(
    _xlpm.bek, _xlfn.REGEXEXTRACT(UPow_Tests[[#This Row],[input]], "=\s*\{?\K[\w,; .-]*", 1),
    _xlpm.base, INDEX(_xlpm.bek,1,1),
    _xlpm.exp, INDEX(_xlpm.bek,1,2),
    _xlpm.k, --INDEX(_xlpm.bek,1,3),
    _xlpm.limbs_base, --_xlfn.TEXTSPLIT(_xlpm.base,",",";"),
    _xlpm.output, core_BigInt.UPow(_xlpm.limbs_base, _xlpm.exp, _xlpm.k),
    _xlfn.ARRAYTOTEXT(_xlpm.output, 1)
)</f>
        <v>{1}</v>
      </c>
      <c r="D317" s="9" t="b">
        <f>IF(ISERROR(UPow_Tests[[#This Row],[expected]]),
    ERROR.TYPE(UPow_Tests[[#This Row],[expected]]) = ERROR.TYPE(UPow_Tests[[#This Row],[output]]),
    UPow_Tests[[#This Row],[expected]] = UPow_Tests[[#This Row],[output]]
)</f>
        <v>1</v>
      </c>
      <c r="E317" s="9" t="s">
        <v>535</v>
      </c>
    </row>
    <row r="318" spans="1:5" ht="43.5" hidden="1" outlineLevel="1">
      <c r="A318" s="7" t="s">
        <v>525</v>
      </c>
      <c r="B318" s="8" t="s">
        <v>129</v>
      </c>
      <c r="C318" s="9" t="str" cm="1">
        <f t="array" ref="C318">_xlfn.LET(
    _xlpm.bek, _xlfn.REGEXEXTRACT(UPow_Tests[[#This Row],[input]], "=\s*\{?\K[\w,; .-]*", 1),
    _xlpm.base, INDEX(_xlpm.bek,1,1),
    _xlpm.exp, INDEX(_xlpm.bek,1,2),
    _xlpm.k, --INDEX(_xlpm.bek,1,3),
    _xlpm.limbs_base, --_xlfn.TEXTSPLIT(_xlpm.base,",",";"),
    _xlpm.output, core_BigInt.UPow(_xlpm.limbs_base, _xlpm.exp, _xlpm.k),
    _xlfn.ARRAYTOTEXT(_xlpm.output, 1)
)</f>
        <v>{2}</v>
      </c>
      <c r="D318" s="9" t="b">
        <f>IF(ISERROR(UPow_Tests[[#This Row],[expected]]),
    ERROR.TYPE(UPow_Tests[[#This Row],[expected]]) = ERROR.TYPE(UPow_Tests[[#This Row],[output]]),
    UPow_Tests[[#This Row],[expected]] = UPow_Tests[[#This Row],[output]]
)</f>
        <v>1</v>
      </c>
      <c r="E318" s="9" t="s">
        <v>534</v>
      </c>
    </row>
    <row r="319" spans="1:5" ht="43.5" hidden="1" outlineLevel="1">
      <c r="A319" s="7" t="s">
        <v>512</v>
      </c>
      <c r="B319" s="8" t="s">
        <v>505</v>
      </c>
      <c r="C319" s="9" t="str" cm="1">
        <f t="array" ref="C319">_xlfn.LET(
    _xlpm.bek, _xlfn.REGEXEXTRACT(UPow_Tests[[#This Row],[input]], "=\s*\{?\K[\w,; .-]*", 1),
    _xlpm.base, INDEX(_xlpm.bek,1,1),
    _xlpm.exp, INDEX(_xlpm.bek,1,2),
    _xlpm.k, --INDEX(_xlpm.bek,1,3),
    _xlpm.limbs_base, --_xlfn.TEXTSPLIT(_xlpm.base,",",";"),
    _xlpm.output, core_BigInt.UPow(_xlpm.limbs_base, _xlpm.exp, _xlpm.k),
    _xlfn.ARRAYTOTEXT(_xlpm.output, 1)
)</f>
        <v>{625}</v>
      </c>
      <c r="D319" s="9" t="b">
        <f>IF(ISERROR(UPow_Tests[[#This Row],[expected]]),
    ERROR.TYPE(UPow_Tests[[#This Row],[expected]]) = ERROR.TYPE(UPow_Tests[[#This Row],[output]]),
    UPow_Tests[[#This Row],[expected]] = UPow_Tests[[#This Row],[output]]
)</f>
        <v>1</v>
      </c>
      <c r="E319" s="9" t="s">
        <v>529</v>
      </c>
    </row>
    <row r="320" spans="1:5" ht="43.5" hidden="1" outlineLevel="1">
      <c r="A320" s="7" t="s">
        <v>511</v>
      </c>
      <c r="B320" s="8" t="s">
        <v>506</v>
      </c>
      <c r="C320" s="9" t="str" cm="1">
        <f t="array" ref="C320">_xlfn.LET(
    _xlpm.bek, _xlfn.REGEXEXTRACT(UPow_Tests[[#This Row],[input]], "=\s*\{?\K[\w,; .-]*", 1),
    _xlpm.base, INDEX(_xlpm.bek,1,1),
    _xlpm.exp, INDEX(_xlpm.bek,1,2),
    _xlpm.k, --INDEX(_xlpm.bek,1,3),
    _xlpm.limbs_base, --_xlfn.TEXTSPLIT(_xlpm.base,",",";"),
    _xlpm.output, core_BigInt.UPow(_xlpm.limbs_base, _xlpm.exp, _xlpm.k),
    _xlfn.ARRAYTOTEXT(_xlpm.output, 1)
)</f>
        <v>{24;1}</v>
      </c>
      <c r="D320" s="9" t="b">
        <f>IF(ISERROR(UPow_Tests[[#This Row],[expected]]),
    ERROR.TYPE(UPow_Tests[[#This Row],[expected]]) = ERROR.TYPE(UPow_Tests[[#This Row],[output]]),
    UPow_Tests[[#This Row],[expected]] = UPow_Tests[[#This Row],[output]]
)</f>
        <v>1</v>
      </c>
      <c r="E320" s="9" t="s">
        <v>533</v>
      </c>
    </row>
    <row r="321" spans="1:5" ht="43.5" hidden="1" outlineLevel="1">
      <c r="A321" s="7" t="s">
        <v>510</v>
      </c>
      <c r="B321" s="8" t="s">
        <v>278</v>
      </c>
      <c r="C321" s="9" t="str" cm="1">
        <f t="array" ref="C321">_xlfn.LET(
    _xlpm.bek, _xlfn.REGEXEXTRACT(UPow_Tests[[#This Row],[input]], "=\s*\{?\K[\w,; .-]*", 1),
    _xlpm.base, INDEX(_xlpm.bek,1,1),
    _xlpm.exp, INDEX(_xlpm.bek,1,2),
    _xlpm.k, --INDEX(_xlpm.bek,1,3),
    _xlpm.limbs_base, --_xlfn.TEXTSPLIT(_xlpm.base,",",";"),
    _xlpm.output, core_BigInt.UPow(_xlpm.limbs_base, _xlpm.exp, _xlpm.k),
    _xlfn.ARRAYTOTEXT(_xlpm.output, 1)
)</f>
        <v>{0;0;1}</v>
      </c>
      <c r="D321" s="9" t="b">
        <f>IF(ISERROR(UPow_Tests[[#This Row],[expected]]),
    ERROR.TYPE(UPow_Tests[[#This Row],[expected]]) = ERROR.TYPE(UPow_Tests[[#This Row],[output]]),
    UPow_Tests[[#This Row],[expected]] = UPow_Tests[[#This Row],[output]]
)</f>
        <v>1</v>
      </c>
      <c r="E321" s="9" t="s">
        <v>532</v>
      </c>
    </row>
    <row r="322" spans="1:5" ht="43.5" hidden="1" outlineLevel="1">
      <c r="A322" s="7" t="s">
        <v>509</v>
      </c>
      <c r="B322" s="8" t="s">
        <v>276</v>
      </c>
      <c r="C322" s="9" t="str" cm="1">
        <f t="array" ref="C322">_xlfn.LET(
    _xlpm.bek, _xlfn.REGEXEXTRACT(UPow_Tests[[#This Row],[input]], "=\s*\{?\K[\w,; .-]*", 1),
    _xlpm.base, INDEX(_xlpm.bek,1,1),
    _xlpm.exp, INDEX(_xlpm.bek,1,2),
    _xlpm.k, --INDEX(_xlpm.bek,1,3),
    _xlpm.limbs_base, --_xlfn.TEXTSPLIT(_xlpm.base,",",";"),
    _xlpm.output, core_BigInt.UPow(_xlpm.limbs_base, _xlpm.exp, _xlpm.k),
    _xlfn.ARRAYTOTEXT(_xlpm.output, 1)
)</f>
        <v>{1;998}</v>
      </c>
      <c r="D322" s="9" t="b">
        <f>IF(ISERROR(UPow_Tests[[#This Row],[expected]]),
    ERROR.TYPE(UPow_Tests[[#This Row],[expected]]) = ERROR.TYPE(UPow_Tests[[#This Row],[output]]),
    UPow_Tests[[#This Row],[expected]] = UPow_Tests[[#This Row],[output]]
)</f>
        <v>1</v>
      </c>
      <c r="E322" s="9" t="s">
        <v>531</v>
      </c>
    </row>
    <row r="323" spans="1:5" ht="43.5" hidden="1" outlineLevel="1">
      <c r="A323" s="7" t="s">
        <v>508</v>
      </c>
      <c r="B323" s="8" t="s">
        <v>507</v>
      </c>
      <c r="C323" s="9" t="str" cm="1">
        <f t="array" ref="C323">_xlfn.LET(
    _xlpm.bek, _xlfn.REGEXEXTRACT(UPow_Tests[[#This Row],[input]], "=\s*\{?\K[\w,; .-]*", 1),
    _xlpm.base, INDEX(_xlpm.bek,1,1),
    _xlpm.exp, INDEX(_xlpm.bek,1,2),
    _xlpm.k, --INDEX(_xlpm.bek,1,3),
    _xlpm.limbs_base, --_xlfn.TEXTSPLIT(_xlpm.base,",",";"),
    _xlpm.output, core_BigInt.UPow(_xlpm.limbs_base, _xlpm.exp, _xlpm.k),
    _xlfn.ARRAYTOTEXT(_xlpm.output, 1)
)</f>
        <v>{576;48;1}</v>
      </c>
      <c r="D323" s="9" t="b">
        <f>IF(ISERROR(UPow_Tests[[#This Row],[expected]]),
    ERROR.TYPE(UPow_Tests[[#This Row],[expected]]) = ERROR.TYPE(UPow_Tests[[#This Row],[output]]),
    UPow_Tests[[#This Row],[expected]] = UPow_Tests[[#This Row],[output]]
)</f>
        <v>1</v>
      </c>
      <c r="E323" s="9" t="s">
        <v>530</v>
      </c>
    </row>
    <row r="324" spans="1:5" collapsed="1">
      <c r="A324" s="2"/>
      <c r="D324" t="b">
        <f>AND(UPow_Tests[passing])</f>
        <v>1</v>
      </c>
    </row>
    <row r="325" spans="1:5" ht="15" thickBot="1"/>
    <row r="326" spans="1:5" ht="18.5">
      <c r="A326" s="5" t="s">
        <v>486</v>
      </c>
      <c r="B326" s="5"/>
      <c r="C326" s="5"/>
      <c r="D326" s="5"/>
      <c r="E326" s="5"/>
    </row>
    <row r="327" spans="1:5">
      <c r="A327" t="s">
        <v>110</v>
      </c>
      <c r="B327" t="s">
        <v>35</v>
      </c>
      <c r="C327" t="s">
        <v>36</v>
      </c>
      <c r="D327" t="s">
        <v>48</v>
      </c>
      <c r="E327" t="s">
        <v>37</v>
      </c>
    </row>
    <row r="328" spans="1:5" ht="29" hidden="1" outlineLevel="1">
      <c r="A328" s="7" t="s">
        <v>513</v>
      </c>
      <c r="B328" s="9" t="e">
        <v>#NUM!</v>
      </c>
      <c r="C328" s="9" t="e" cm="1">
        <f t="array" ref="C328">_xlfn.LET(
    _xlpm.ab, _xlfn.REGEXEXTRACT(Pow_Tests[[#This Row],[input]], "=\s*\{?\K[\w,; .-]*", 1),
    _xlpm.a, INDEX(_xlpm.ab, 1, 1),
    _xlpm.b, INDEX(_xlpm.ab, 1, 2),
    BigInt.Pow(_xlpm.a, _xlpm.b)
)</f>
        <v>#NUM!</v>
      </c>
      <c r="D328" s="9" t="b">
        <f>IF(ISERROR(Pow_Tests[[#This Row],[expected]]),
    ERROR.TYPE(Pow_Tests[[#This Row],[expected]]) = ERROR.TYPE(Pow_Tests[[#This Row],[output]]),
    Pow_Tests[[#This Row],[expected]] = Pow_Tests[[#This Row],[output]]
)</f>
        <v>1</v>
      </c>
      <c r="E328" s="9" t="s">
        <v>491</v>
      </c>
    </row>
    <row r="329" spans="1:5" ht="29" hidden="1" outlineLevel="1">
      <c r="A329" s="7" t="s">
        <v>514</v>
      </c>
      <c r="B329" s="8" t="s">
        <v>4</v>
      </c>
      <c r="C329" s="9" t="str" cm="1">
        <f t="array" ref="C329">_xlfn.LET(
    _xlpm.ab, _xlfn.REGEXEXTRACT(Pow_Tests[[#This Row],[input]], "=\s*\{?\K[\w,; .-]*", 1),
    _xlpm.a, INDEX(_xlpm.ab, 1, 1),
    _xlpm.b, INDEX(_xlpm.ab, 1, 2),
    BigInt.Pow(_xlpm.a, _xlpm.b)
)</f>
        <v>0</v>
      </c>
      <c r="D329" s="9" t="b">
        <f>IF(ISERROR(Pow_Tests[[#This Row],[expected]]),
    ERROR.TYPE(Pow_Tests[[#This Row],[expected]]) = ERROR.TYPE(Pow_Tests[[#This Row],[output]]),
    Pow_Tests[[#This Row],[expected]] = Pow_Tests[[#This Row],[output]]
)</f>
        <v>1</v>
      </c>
      <c r="E329" s="9" t="s">
        <v>492</v>
      </c>
    </row>
    <row r="330" spans="1:5" ht="29" hidden="1" outlineLevel="1">
      <c r="A330" s="7" t="s">
        <v>515</v>
      </c>
      <c r="B330" s="8" t="s">
        <v>53</v>
      </c>
      <c r="C330" s="9" t="str" cm="1">
        <f t="array" ref="C330">_xlfn.LET(
    _xlpm.ab, _xlfn.REGEXEXTRACT(Pow_Tests[[#This Row],[input]], "=\s*\{?\K[\w,; .-]*", 1),
    _xlpm.a, INDEX(_xlpm.ab, 1, 1),
    _xlpm.b, INDEX(_xlpm.ab, 1, 2),
    BigInt.Pow(_xlpm.a, _xlpm.b)
)</f>
        <v>1</v>
      </c>
      <c r="D330" s="9" t="b">
        <f>IF(ISERROR(Pow_Tests[[#This Row],[expected]]),
    ERROR.TYPE(Pow_Tests[[#This Row],[expected]]) = ERROR.TYPE(Pow_Tests[[#This Row],[output]]),
    Pow_Tests[[#This Row],[expected]] = Pow_Tests[[#This Row],[output]]
)</f>
        <v>1</v>
      </c>
      <c r="E330" s="9" t="s">
        <v>494</v>
      </c>
    </row>
    <row r="331" spans="1:5" ht="29" hidden="1" outlineLevel="1">
      <c r="A331" s="7" t="s">
        <v>516</v>
      </c>
      <c r="B331" s="8" t="s">
        <v>53</v>
      </c>
      <c r="C331" s="9" t="str" cm="1">
        <f t="array" ref="C331">_xlfn.LET(
    _xlpm.ab, _xlfn.REGEXEXTRACT(Pow_Tests[[#This Row],[input]], "=\s*\{?\K[\w,; .-]*", 1),
    _xlpm.a, INDEX(_xlpm.ab, 1, 1),
    _xlpm.b, INDEX(_xlpm.ab, 1, 2),
    BigInt.Pow(_xlpm.a, _xlpm.b)
)</f>
        <v>1</v>
      </c>
      <c r="D331" s="9" t="b">
        <f>IF(ISERROR(Pow_Tests[[#This Row],[expected]]),
    ERROR.TYPE(Pow_Tests[[#This Row],[expected]]) = ERROR.TYPE(Pow_Tests[[#This Row],[output]]),
    Pow_Tests[[#This Row],[expected]] = Pow_Tests[[#This Row],[output]]
)</f>
        <v>1</v>
      </c>
      <c r="E331" s="9" t="s">
        <v>495</v>
      </c>
    </row>
    <row r="332" spans="1:5" ht="29" hidden="1" outlineLevel="1">
      <c r="A332" s="7" t="s">
        <v>517</v>
      </c>
      <c r="B332" s="8" t="s">
        <v>54</v>
      </c>
      <c r="C332" s="9" t="str" cm="1">
        <f t="array" ref="C332">_xlfn.LET(
    _xlpm.ab, _xlfn.REGEXEXTRACT(Pow_Tests[[#This Row],[input]], "=\s*\{?\K[\w,; .-]*", 1),
    _xlpm.a, INDEX(_xlpm.ab, 1, 1),
    _xlpm.b, INDEX(_xlpm.ab, 1, 2),
    BigInt.Pow(_xlpm.a, _xlpm.b)
)</f>
        <v>-1</v>
      </c>
      <c r="D332" s="9" t="b">
        <f>IF(ISERROR(Pow_Tests[[#This Row],[expected]]),
    ERROR.TYPE(Pow_Tests[[#This Row],[expected]]) = ERROR.TYPE(Pow_Tests[[#This Row],[output]]),
    Pow_Tests[[#This Row],[expected]] = Pow_Tests[[#This Row],[output]]
)</f>
        <v>1</v>
      </c>
      <c r="E332" s="9" t="s">
        <v>493</v>
      </c>
    </row>
    <row r="333" spans="1:5" ht="29" hidden="1" outlineLevel="1">
      <c r="A333" s="7" t="s">
        <v>518</v>
      </c>
      <c r="B333" s="8" t="s">
        <v>53</v>
      </c>
      <c r="C333" s="9" t="str" cm="1">
        <f t="array" ref="C333">_xlfn.LET(
    _xlpm.ab, _xlfn.REGEXEXTRACT(Pow_Tests[[#This Row],[input]], "=\s*\{?\K[\w,; .-]*", 1),
    _xlpm.a, INDEX(_xlpm.ab, 1, 1),
    _xlpm.b, INDEX(_xlpm.ab, 1, 2),
    BigInt.Pow(_xlpm.a, _xlpm.b)
)</f>
        <v>1</v>
      </c>
      <c r="D333" s="9" t="b">
        <f>IF(ISERROR(Pow_Tests[[#This Row],[expected]]),
    ERROR.TYPE(Pow_Tests[[#This Row],[expected]]) = ERROR.TYPE(Pow_Tests[[#This Row],[output]]),
    Pow_Tests[[#This Row],[expected]] = Pow_Tests[[#This Row],[output]]
)</f>
        <v>1</v>
      </c>
      <c r="E333" s="9" t="s">
        <v>496</v>
      </c>
    </row>
    <row r="334" spans="1:5" ht="29" hidden="1" outlineLevel="1">
      <c r="A334" s="7" t="s">
        <v>527</v>
      </c>
      <c r="B334" s="8" t="s">
        <v>464</v>
      </c>
      <c r="C334" s="9" t="str" cm="1">
        <f t="array" ref="C334">_xlfn.LET(
    _xlpm.ab, _xlfn.REGEXEXTRACT(Pow_Tests[[#This Row],[input]], "=\s*\{?\K[\w,; .-]*", 1),
    _xlpm.a, INDEX(_xlpm.ab, 1, 1),
    _xlpm.b, INDEX(_xlpm.ab, 1, 2),
    BigInt.Pow(_xlpm.a, _xlpm.b)
)</f>
        <v>2</v>
      </c>
      <c r="D334" s="9" t="b">
        <f>IF(ISERROR(Pow_Tests[[#This Row],[expected]]),
    ERROR.TYPE(Pow_Tests[[#This Row],[expected]]) = ERROR.TYPE(Pow_Tests[[#This Row],[output]]),
    Pow_Tests[[#This Row],[expected]] = Pow_Tests[[#This Row],[output]]
)</f>
        <v>1</v>
      </c>
      <c r="E334" s="9" t="s">
        <v>528</v>
      </c>
    </row>
    <row r="335" spans="1:5" ht="29" hidden="1" outlineLevel="1">
      <c r="A335" s="7" t="s">
        <v>519</v>
      </c>
      <c r="B335" s="8" t="s">
        <v>487</v>
      </c>
      <c r="C335" s="9" t="str" cm="1">
        <f t="array" ref="C335">_xlfn.LET(
    _xlpm.ab, _xlfn.REGEXEXTRACT(Pow_Tests[[#This Row],[input]], "=\s*\{?\K[\w,; .-]*", 1),
    _xlpm.a, INDEX(_xlpm.ab, 1, 1),
    _xlpm.b, INDEX(_xlpm.ab, 1, 2),
    BigInt.Pow(_xlpm.a, _xlpm.b)
)</f>
        <v>1024</v>
      </c>
      <c r="D335" s="9" t="b">
        <f>IF(ISERROR(Pow_Tests[[#This Row],[expected]]),
    ERROR.TYPE(Pow_Tests[[#This Row],[expected]]) = ERROR.TYPE(Pow_Tests[[#This Row],[output]]),
    Pow_Tests[[#This Row],[expected]] = Pow_Tests[[#This Row],[output]]
)</f>
        <v>1</v>
      </c>
      <c r="E335" s="9" t="s">
        <v>497</v>
      </c>
    </row>
    <row r="336" spans="1:5" ht="29" hidden="1" outlineLevel="1">
      <c r="A336" s="7" t="s">
        <v>520</v>
      </c>
      <c r="B336" s="8" t="s">
        <v>488</v>
      </c>
      <c r="C336" s="9" t="str" cm="1">
        <f t="array" ref="C336">_xlfn.LET(
    _xlpm.ab, _xlfn.REGEXEXTRACT(Pow_Tests[[#This Row],[input]], "=\s*\{?\K[\w,; .-]*", 1),
    _xlpm.a, INDEX(_xlpm.ab, 1, 1),
    _xlpm.b, INDEX(_xlpm.ab, 1, 2),
    BigInt.Pow(_xlpm.a, _xlpm.b)
)</f>
        <v>-8</v>
      </c>
      <c r="D336" s="9" t="b">
        <f>IF(ISERROR(Pow_Tests[[#This Row],[expected]]),
    ERROR.TYPE(Pow_Tests[[#This Row],[expected]]) = ERROR.TYPE(Pow_Tests[[#This Row],[output]]),
    Pow_Tests[[#This Row],[expected]] = Pow_Tests[[#This Row],[output]]
)</f>
        <v>1</v>
      </c>
      <c r="E336" s="9" t="s">
        <v>498</v>
      </c>
    </row>
    <row r="337" spans="1:5" ht="29" hidden="1" outlineLevel="1">
      <c r="A337" s="7" t="s">
        <v>521</v>
      </c>
      <c r="B337" s="8" t="s">
        <v>489</v>
      </c>
      <c r="C337" s="9" t="str" cm="1">
        <f t="array" ref="C337">_xlfn.LET(
    _xlpm.ab, _xlfn.REGEXEXTRACT(Pow_Tests[[#This Row],[input]], "=\s*\{?\K[\w,; .-]*", 1),
    _xlpm.a, INDEX(_xlpm.ab, 1, 1),
    _xlpm.b, INDEX(_xlpm.ab, 1, 2),
    BigInt.Pow(_xlpm.a, _xlpm.b)
)</f>
        <v>16</v>
      </c>
      <c r="D337" s="9" t="b">
        <f>IF(ISERROR(Pow_Tests[[#This Row],[expected]]),
    ERROR.TYPE(Pow_Tests[[#This Row],[expected]]) = ERROR.TYPE(Pow_Tests[[#This Row],[output]]),
    Pow_Tests[[#This Row],[expected]] = Pow_Tests[[#This Row],[output]]
)</f>
        <v>1</v>
      </c>
      <c r="E337" s="9" t="s">
        <v>499</v>
      </c>
    </row>
    <row r="338" spans="1:5" ht="29" hidden="1" outlineLevel="1">
      <c r="A338" s="7" t="s">
        <v>522</v>
      </c>
      <c r="B338" s="8" t="s">
        <v>490</v>
      </c>
      <c r="C338" s="9" t="str" cm="1">
        <f t="array" ref="C338">_xlfn.LET(
    _xlpm.ab, _xlfn.REGEXEXTRACT(Pow_Tests[[#This Row],[input]], "=\s*\{?\K[\w,; .-]*", 1),
    _xlpm.a, INDEX(_xlpm.ab, 1, 1),
    _xlpm.b, INDEX(_xlpm.ab, 1, 2),
    BigInt.Pow(_xlpm.a, _xlpm.b)
)</f>
        <v>1267650600228229401496703205376</v>
      </c>
      <c r="D338" s="9" t="b">
        <f>IF(ISERROR(Pow_Tests[[#This Row],[expected]]),
    ERROR.TYPE(Pow_Tests[[#This Row],[expected]]) = ERROR.TYPE(Pow_Tests[[#This Row],[output]]),
    Pow_Tests[[#This Row],[expected]] = Pow_Tests[[#This Row],[output]]
)</f>
        <v>1</v>
      </c>
      <c r="E338" s="9" t="s">
        <v>500</v>
      </c>
    </row>
    <row r="339" spans="1:5" ht="29" hidden="1" outlineLevel="1">
      <c r="A339" s="7" t="s">
        <v>523</v>
      </c>
      <c r="B339" s="8" t="s">
        <v>4</v>
      </c>
      <c r="C339" s="9" t="str" cm="1">
        <f t="array" ref="C339">_xlfn.LET(
    _xlpm.ab, _xlfn.REGEXEXTRACT(Pow_Tests[[#This Row],[input]], "=\s*\{?\K[\w,; .-]*", 1),
    _xlpm.a, INDEX(_xlpm.ab, 1, 1),
    _xlpm.b, INDEX(_xlpm.ab, 1, 2),
    BigInt.Pow(_xlpm.a, _xlpm.b)
)</f>
        <v>0</v>
      </c>
      <c r="D339" s="9" t="b">
        <f>IF(ISERROR(Pow_Tests[[#This Row],[expected]]),
    ERROR.TYPE(Pow_Tests[[#This Row],[expected]]) = ERROR.TYPE(Pow_Tests[[#This Row],[output]]),
    Pow_Tests[[#This Row],[expected]] = Pow_Tests[[#This Row],[output]]
)</f>
        <v>1</v>
      </c>
      <c r="E339" s="9" t="s">
        <v>501</v>
      </c>
    </row>
    <row r="340" spans="1:5" ht="29" hidden="1" outlineLevel="1">
      <c r="A340" s="7" t="s">
        <v>524</v>
      </c>
      <c r="B340" s="9" t="e">
        <v>#NUM!</v>
      </c>
      <c r="C340" s="9" t="e" cm="1">
        <f t="array" ref="C340">_xlfn.LET(
    _xlpm.ab, _xlfn.REGEXEXTRACT(Pow_Tests[[#This Row],[input]], "=\s*\{?\K[\w,; .-]*", 1),
    _xlpm.a, INDEX(_xlpm.ab, 1, 1),
    _xlpm.b, INDEX(_xlpm.ab, 1, 2),
    BigInt.Pow(_xlpm.a, _xlpm.b)
)</f>
        <v>#NUM!</v>
      </c>
      <c r="D340" s="9" t="b">
        <f>IF(ISERROR(Pow_Tests[[#This Row],[expected]]),
    ERROR.TYPE(Pow_Tests[[#This Row],[expected]]) = ERROR.TYPE(Pow_Tests[[#This Row],[output]]),
    Pow_Tests[[#This Row],[expected]] = Pow_Tests[[#This Row],[output]]
)</f>
        <v>1</v>
      </c>
      <c r="E340" s="9" t="s">
        <v>502</v>
      </c>
    </row>
    <row r="341" spans="1:5" collapsed="1">
      <c r="A341" s="2"/>
      <c r="D341" t="b">
        <f>AND(Pow_Tests[passing])</f>
        <v>1</v>
      </c>
    </row>
    <row r="342" spans="1:5" ht="15" thickBot="1"/>
    <row r="343" spans="1:5" ht="18.5">
      <c r="A343" s="5" t="s">
        <v>537</v>
      </c>
      <c r="B343" s="5"/>
      <c r="C343" s="5"/>
      <c r="D343" s="5"/>
      <c r="E343" s="5"/>
    </row>
    <row r="344" spans="1:5">
      <c r="A344" t="s">
        <v>110</v>
      </c>
      <c r="B344" t="s">
        <v>35</v>
      </c>
      <c r="C344" t="s">
        <v>36</v>
      </c>
      <c r="D344" t="s">
        <v>48</v>
      </c>
      <c r="E344" t="s">
        <v>37</v>
      </c>
    </row>
    <row r="345" spans="1:5" ht="43.5" hidden="1" outlineLevel="1">
      <c r="A345" s="12" t="s">
        <v>538</v>
      </c>
      <c r="B345" s="9" t="s">
        <v>125</v>
      </c>
      <c r="C345" s="9" t="str" cm="1">
        <f t="array" ref="C345">_xlfn.LET(
    _xlpm.radicand_seed_k, _xlfn.REGEXEXTRACT(USqrt_Tests[[#This Row],[input]], "=\s*\{?\K[\w,; .-]*", 1),
    _xlpm.radicand, INDEX(_xlpm.radicand_seed_k,1,1),
    _xlpm.seed, INDEX(_xlpm.radicand_seed_k,1,2),
    _xlpm.k, --INDEX(_xlpm.radicand_seed_k,1,3),
    _xlpm.limbs_radicand, --_xlfn.TEXTSPLIT(_xlpm.radicand,",",";"),
    _xlpm.limbs_seed, --_xlfn.TEXTSPLIT(_xlpm.seed,",",";"),
    _xlpm.output, core_BigInt.USqrt(_xlpm.limbs_radicand, _xlpm.limbs_seed, _xlpm.k),
    _xlfn.ARRAYTOTEXT(_xlpm.output, 1)
)</f>
        <v>{3}</v>
      </c>
      <c r="D345" s="9" t="b">
        <f>IF(ISERROR(USqrt_Tests[[#This Row],[expected]]),
    ERROR.TYPE(USqrt_Tests[[#This Row],[expected]]) = ERROR.TYPE(USqrt_Tests[[#This Row],[output]]),
    USqrt_Tests[[#This Row],[expected]] = USqrt_Tests[[#This Row],[output]]
)</f>
        <v>1</v>
      </c>
      <c r="E345" s="9" t="s">
        <v>540</v>
      </c>
    </row>
    <row r="346" spans="1:5" ht="43.5" hidden="1" outlineLevel="1">
      <c r="A346" s="12" t="s">
        <v>539</v>
      </c>
      <c r="B346" s="9" t="s">
        <v>536</v>
      </c>
      <c r="C346" s="9" t="str" cm="1">
        <f t="array" ref="C346">_xlfn.LET(
    _xlpm.radicand_seed_k, _xlfn.REGEXEXTRACT(USqrt_Tests[[#This Row],[input]], "=\s*\{?\K[\w,; .-]*", 1),
    _xlpm.radicand, INDEX(_xlpm.radicand_seed_k,1,1),
    _xlpm.seed, INDEX(_xlpm.radicand_seed_k,1,2),
    _xlpm.k, --INDEX(_xlpm.radicand_seed_k,1,3),
    _xlpm.limbs_radicand, --_xlfn.TEXTSPLIT(_xlpm.radicand,",",";"),
    _xlpm.limbs_seed, --_xlfn.TEXTSPLIT(_xlpm.seed,",",";"),
    _xlpm.output, core_BigInt.USqrt(_xlpm.limbs_radicand, _xlpm.limbs_seed, _xlpm.k),
    _xlfn.ARRAYTOTEXT(_xlpm.output, 1)
)</f>
        <v>{10}</v>
      </c>
      <c r="D346" s="9" t="b">
        <f>IF(ISERROR(USqrt_Tests[[#This Row],[expected]]),
    ERROR.TYPE(USqrt_Tests[[#This Row],[expected]]) = ERROR.TYPE(USqrt_Tests[[#This Row],[output]]),
    USqrt_Tests[[#This Row],[expected]] = USqrt_Tests[[#This Row],[output]]
)</f>
        <v>1</v>
      </c>
      <c r="E346" s="9" t="s">
        <v>548</v>
      </c>
    </row>
    <row r="347" spans="1:5" ht="43.5" hidden="1" outlineLevel="1">
      <c r="A347" s="12" t="s">
        <v>571</v>
      </c>
      <c r="B347" s="9" t="s">
        <v>542</v>
      </c>
      <c r="C347" s="9" t="str" cm="1">
        <f t="array" ref="C347">_xlfn.LET(
    _xlpm.radicand_seed_k, _xlfn.REGEXEXTRACT(USqrt_Tests[[#This Row],[input]], "=\s*\{?\K[\w,; .-]*", 1),
    _xlpm.radicand, INDEX(_xlpm.radicand_seed_k,1,1),
    _xlpm.seed, INDEX(_xlpm.radicand_seed_k,1,2),
    _xlpm.k, --INDEX(_xlpm.radicand_seed_k,1,3),
    _xlpm.limbs_radicand, --_xlfn.TEXTSPLIT(_xlpm.radicand,",",";"),
    _xlpm.limbs_seed, --_xlfn.TEXTSPLIT(_xlpm.seed,",",";"),
    _xlpm.output, core_BigInt.USqrt(_xlpm.limbs_radicand, _xlpm.limbs_seed, _xlpm.k),
    _xlfn.ARRAYTOTEXT(_xlpm.output, 1)
)</f>
        <v>{3641828;351}</v>
      </c>
      <c r="D347" s="9" t="b">
        <f>IF(ISERROR(USqrt_Tests[[#This Row],[expected]]),
    ERROR.TYPE(USqrt_Tests[[#This Row],[expected]]) = ERROR.TYPE(USqrt_Tests[[#This Row],[output]]),
    USqrt_Tests[[#This Row],[expected]] = USqrt_Tests[[#This Row],[output]]
)</f>
        <v>1</v>
      </c>
      <c r="E347" s="9" t="s">
        <v>541</v>
      </c>
    </row>
    <row r="348" spans="1:5" collapsed="1">
      <c r="D348" s="9" t="b">
        <f>AND(USqrt_Tests[passing])</f>
        <v>1</v>
      </c>
    </row>
    <row r="349" spans="1:5" ht="15" thickBot="1"/>
    <row r="350" spans="1:5" ht="18.5">
      <c r="A350" s="5" t="s">
        <v>543</v>
      </c>
      <c r="B350" s="5"/>
      <c r="C350" s="5"/>
      <c r="D350" s="5"/>
      <c r="E350" s="5"/>
    </row>
    <row r="351" spans="1:5">
      <c r="A351" t="s">
        <v>110</v>
      </c>
      <c r="B351" t="s">
        <v>35</v>
      </c>
      <c r="C351" t="s">
        <v>36</v>
      </c>
      <c r="D351" t="s">
        <v>48</v>
      </c>
      <c r="E351" t="s">
        <v>37</v>
      </c>
    </row>
    <row r="352" spans="1:5" ht="43.5" hidden="1" outlineLevel="1">
      <c r="A352" s="12" t="s">
        <v>544</v>
      </c>
      <c r="B352" s="9" t="s">
        <v>409</v>
      </c>
      <c r="C352" s="9" t="str" cm="1">
        <f t="array" ref="C352">_xlfn.LET(
    _xlpm.b_len_k, _xlfn.REGEXEXTRACT(NewtonRaphsonReciprocal_Tests[[#This Row],[input]], "=\s*\{?\K[\w,; .-]*", 1),
    _xlpm.b, INDEX(_xlpm.b_len_k,1,1),
    _xlpm.target_len, INDEX(_xlpm.b_len_k,1,2),
    _xlpm.k, --INDEX(_xlpm.b_len_k,1,3),
    _xlpm.limbs_b, --_xlfn.TEXTSPLIT(_xlpm.b,",",";"),
    _xlpm.output, core_BigInt.NewtonRaphsonReciprocal(_xlpm.limbs_b, _xlpm.target_len, _xlpm.k),
    _xlfn.ARRAYTOTEXT(_xlpm.output, 1)
)</f>
        <v>{3333333;3333333}</v>
      </c>
      <c r="D352" s="9" t="b">
        <f>IF(ISERROR(NewtonRaphsonReciprocal_Tests[[#This Row],[expected]]),
    ERROR.TYPE(NewtonRaphsonReciprocal_Tests[[#This Row],[expected]]) = ERROR.TYPE(NewtonRaphsonReciprocal_Tests[[#This Row],[output]]),
    NewtonRaphsonReciprocal_Tests[[#This Row],[expected]] = NewtonRaphsonReciprocal_Tests[[#This Row],[output]]
)</f>
        <v>1</v>
      </c>
      <c r="E352" s="9" t="s">
        <v>549</v>
      </c>
    </row>
    <row r="353" spans="1:5" ht="43.5" hidden="1" outlineLevel="1">
      <c r="A353" s="12" t="s">
        <v>545</v>
      </c>
      <c r="B353" s="9" t="s">
        <v>411</v>
      </c>
      <c r="C353" s="9" t="str" cm="1">
        <f t="array" ref="C353">_xlfn.LET(
    _xlpm.b_len_k, _xlfn.REGEXEXTRACT(NewtonRaphsonReciprocal_Tests[[#This Row],[input]], "=\s*\{?\K[\w,; .-]*", 1),
    _xlpm.b, INDEX(_xlpm.b_len_k,1,1),
    _xlpm.target_len, INDEX(_xlpm.b_len_k,1,2),
    _xlpm.k, --INDEX(_xlpm.b_len_k,1,3),
    _xlpm.limbs_b, --_xlfn.TEXTSPLIT(_xlpm.b,",",";"),
    _xlpm.output, core_BigInt.NewtonRaphsonReciprocal(_xlpm.limbs_b, _xlpm.target_len, _xlpm.k),
    _xlfn.ARRAYTOTEXT(_xlpm.output, 1)
)</f>
        <v>{0;0;0;5000000}</v>
      </c>
      <c r="D353" s="9" t="b">
        <f>IF(ISERROR(NewtonRaphsonReciprocal_Tests[[#This Row],[expected]]),
    ERROR.TYPE(NewtonRaphsonReciprocal_Tests[[#This Row],[expected]]) = ERROR.TYPE(NewtonRaphsonReciprocal_Tests[[#This Row],[output]]),
    NewtonRaphsonReciprocal_Tests[[#This Row],[expected]] = NewtonRaphsonReciprocal_Tests[[#This Row],[output]]
)</f>
        <v>1</v>
      </c>
      <c r="E353" s="9" t="s">
        <v>550</v>
      </c>
    </row>
    <row r="354" spans="1:5" ht="43.5" hidden="1" outlineLevel="1">
      <c r="A354" s="12" t="s">
        <v>546</v>
      </c>
      <c r="B354" s="9" t="s">
        <v>569</v>
      </c>
      <c r="C354" s="9" t="str" cm="1">
        <f t="array" ref="C354">_xlfn.LET(
    _xlpm.b_len_k, _xlfn.REGEXEXTRACT(NewtonRaphsonReciprocal_Tests[[#This Row],[input]], "=\s*\{?\K[\w,; .-]*", 1),
    _xlpm.b, INDEX(_xlpm.b_len_k,1,1),
    _xlpm.target_len, INDEX(_xlpm.b_len_k,1,2),
    _xlpm.k, --INDEX(_xlpm.b_len_k,1,3),
    _xlpm.limbs_b, --_xlfn.TEXTSPLIT(_xlpm.b,",",";"),
    _xlpm.output, core_BigInt.NewtonRaphsonReciprocal(_xlpm.limbs_b, _xlpm.target_len, _xlpm.k),
    _xlfn.ARRAYTOTEXT(_xlpm.output, 1)
)</f>
        <v>{2733835;3966724;11234}</v>
      </c>
      <c r="D354" s="9" t="b">
        <f>IF(ISERROR(NewtonRaphsonReciprocal_Tests[[#This Row],[expected]]),
    ERROR.TYPE(NewtonRaphsonReciprocal_Tests[[#This Row],[expected]]) = ERROR.TYPE(NewtonRaphsonReciprocal_Tests[[#This Row],[output]]),
    NewtonRaphsonReciprocal_Tests[[#This Row],[expected]] = NewtonRaphsonReciprocal_Tests[[#This Row],[output]]
)</f>
        <v>1</v>
      </c>
      <c r="E354" s="9" t="s">
        <v>551</v>
      </c>
    </row>
    <row r="355" spans="1:5" ht="43.5" hidden="1" outlineLevel="1">
      <c r="A355" s="12" t="s">
        <v>547</v>
      </c>
      <c r="B355" s="9" t="s">
        <v>570</v>
      </c>
      <c r="C355" s="9" t="str" cm="1">
        <f t="array" ref="C355">_xlfn.LET(
    _xlpm.b_len_k, _xlfn.REGEXEXTRACT(NewtonRaphsonReciprocal_Tests[[#This Row],[input]], "=\s*\{?\K[\w,; .-]*", 1),
    _xlpm.b, INDEX(_xlpm.b_len_k,1,1),
    _xlpm.target_len, INDEX(_xlpm.b_len_k,1,2),
    _xlpm.k, --INDEX(_xlpm.b_len_k,1,3),
    _xlpm.limbs_b, --_xlfn.TEXTSPLIT(_xlpm.b,",",";"),
    _xlpm.output, core_BigInt.NewtonRaphsonReciprocal(_xlpm.limbs_b, _xlpm.target_len, _xlpm.k),
    _xlfn.ARRAYTOTEXT(_xlpm.output, 1)
)</f>
        <v>{0;0;0;0;1}</v>
      </c>
      <c r="D355" s="9" t="b">
        <f>IF(ISERROR(NewtonRaphsonReciprocal_Tests[[#This Row],[expected]]),
    ERROR.TYPE(NewtonRaphsonReciprocal_Tests[[#This Row],[expected]]) = ERROR.TYPE(NewtonRaphsonReciprocal_Tests[[#This Row],[output]]),
    NewtonRaphsonReciprocal_Tests[[#This Row],[expected]] = NewtonRaphsonReciprocal_Tests[[#This Row],[output]]
)</f>
        <v>1</v>
      </c>
      <c r="E355" s="9" t="s">
        <v>552</v>
      </c>
    </row>
    <row r="356" spans="1:5" collapsed="1">
      <c r="D356" s="9" t="b">
        <f>AND(NewtonRaphsonReciprocal_Tests[passing])</f>
        <v>1</v>
      </c>
    </row>
    <row r="357" spans="1:5" ht="15" thickBot="1"/>
    <row r="358" spans="1:5" ht="18.5">
      <c r="A358" s="5" t="s">
        <v>553</v>
      </c>
      <c r="B358" s="5"/>
      <c r="C358" s="5"/>
      <c r="D358" s="5"/>
      <c r="E358" s="5"/>
    </row>
    <row r="359" spans="1:5">
      <c r="A359" t="s">
        <v>110</v>
      </c>
      <c r="B359" t="s">
        <v>35</v>
      </c>
      <c r="C359" t="s">
        <v>36</v>
      </c>
      <c r="D359" t="s">
        <v>48</v>
      </c>
      <c r="E359" t="s">
        <v>37</v>
      </c>
    </row>
    <row r="360" spans="1:5" ht="43.5" hidden="1" outlineLevel="1">
      <c r="A360" s="12" t="s">
        <v>563</v>
      </c>
      <c r="B360" s="9" t="s">
        <v>568</v>
      </c>
      <c r="C360" s="9" t="str" cm="1">
        <f t="array" ref="C360">_xlfn.LET(
    _xlpm.abk, _xlfn.REGEXEXTRACT(NewtonRaphsonDiv_Tests[[#This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core_BigInt.NewtonRaphsonDiv(_xlpm.limbs_a, _xlpm.limbs_b, _xlpm.k),
    _xlfn.ARRAYTOTEXT(_xlpm.output, 1)
)</f>
        <v>{2;9744480;224;3641827;351}</v>
      </c>
      <c r="D360" s="9" t="b">
        <f>IF(ISERROR(NewtonRaphsonDiv_Tests[[#This Row],[expected]]),
    ERROR.TYPE(NewtonRaphsonDiv_Tests[[#This Row],[expected]]) = ERROR.TYPE(NewtonRaphsonDiv_Tests[[#This Row],[output]]),
    NewtonRaphsonDiv_Tests[[#This Row],[expected]] = NewtonRaphsonDiv_Tests[[#This Row],[output]]
)</f>
        <v>1</v>
      </c>
      <c r="E360" s="9" t="s">
        <v>554</v>
      </c>
    </row>
    <row r="361" spans="1:5" ht="43.5" hidden="1" outlineLevel="1">
      <c r="A361" s="12" t="s">
        <v>564</v>
      </c>
      <c r="B361" s="9" t="s">
        <v>559</v>
      </c>
      <c r="C361" s="9" t="str" cm="1">
        <f t="array" ref="C361">_xlfn.LET(
    _xlpm.abk, _xlfn.REGEXEXTRACT(NewtonRaphsonDiv_Tests[[#This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core_BigInt.NewtonRaphsonDiv(_xlpm.limbs_a, _xlpm.limbs_b, _xlpm.k),
    _xlfn.ARRAYTOTEXT(_xlpm.output, 1)
)</f>
        <v>{1;1;3333333;3333333}</v>
      </c>
      <c r="D361" s="9" t="b">
        <f>IF(ISERROR(NewtonRaphsonDiv_Tests[[#This Row],[expected]]),
    ERROR.TYPE(NewtonRaphsonDiv_Tests[[#This Row],[expected]]) = ERROR.TYPE(NewtonRaphsonDiv_Tests[[#This Row],[output]]),
    NewtonRaphsonDiv_Tests[[#This Row],[expected]] = NewtonRaphsonDiv_Tests[[#This Row],[output]]
)</f>
        <v>1</v>
      </c>
      <c r="E361" s="9" t="s">
        <v>555</v>
      </c>
    </row>
    <row r="362" spans="1:5" ht="43.5" hidden="1" outlineLevel="1">
      <c r="A362" s="12" t="s">
        <v>565</v>
      </c>
      <c r="B362" s="9" t="s">
        <v>560</v>
      </c>
      <c r="C362" s="9" t="str" cm="1">
        <f t="array" ref="C362">_xlfn.LET(
    _xlpm.abk, _xlfn.REGEXEXTRACT(NewtonRaphsonDiv_Tests[[#This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core_BigInt.NewtonRaphsonDiv(_xlpm.limbs_a, _xlpm.limbs_b, _xlpm.k),
    _xlfn.ARRAYTOTEXT(_xlpm.output, 1)
)</f>
        <v>{1;999999;0}</v>
      </c>
      <c r="D362" s="9" t="b">
        <f>IF(ISERROR(NewtonRaphsonDiv_Tests[[#This Row],[expected]]),
    ERROR.TYPE(NewtonRaphsonDiv_Tests[[#This Row],[expected]]) = ERROR.TYPE(NewtonRaphsonDiv_Tests[[#This Row],[output]]),
    NewtonRaphsonDiv_Tests[[#This Row],[expected]] = NewtonRaphsonDiv_Tests[[#This Row],[output]]
)</f>
        <v>1</v>
      </c>
      <c r="E362" s="9" t="s">
        <v>556</v>
      </c>
    </row>
    <row r="363" spans="1:5" ht="43.5" hidden="1" outlineLevel="1">
      <c r="A363" s="12" t="s">
        <v>566</v>
      </c>
      <c r="B363" s="9" t="s">
        <v>561</v>
      </c>
      <c r="C363" s="9" t="str" cm="1">
        <f t="array" ref="C363">_xlfn.LET(
    _xlpm.abk, _xlfn.REGEXEXTRACT(NewtonRaphsonDiv_Tests[[#This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core_BigInt.NewtonRaphsonDiv(_xlpm.limbs_a, _xlpm.limbs_b, _xlpm.k),
    _xlfn.ARRAYTOTEXT(_xlpm.output, 1)
)</f>
        <v>{1;0;12}</v>
      </c>
      <c r="D363" s="9" t="b">
        <f>IF(ISERROR(NewtonRaphsonDiv_Tests[[#This Row],[expected]]),
    ERROR.TYPE(NewtonRaphsonDiv_Tests[[#This Row],[expected]]) = ERROR.TYPE(NewtonRaphsonDiv_Tests[[#This Row],[output]]),
    NewtonRaphsonDiv_Tests[[#This Row],[expected]] = NewtonRaphsonDiv_Tests[[#This Row],[output]]
)</f>
        <v>1</v>
      </c>
      <c r="E363" s="9" t="s">
        <v>557</v>
      </c>
    </row>
    <row r="364" spans="1:5" ht="43.5" hidden="1" outlineLevel="1">
      <c r="A364" s="12" t="s">
        <v>567</v>
      </c>
      <c r="B364" s="9" t="s">
        <v>562</v>
      </c>
      <c r="C364" s="9" t="str" cm="1">
        <f t="array" ref="C364">_xlfn.LET(
    _xlpm.abk, _xlfn.REGEXEXTRACT(NewtonRaphsonDiv_Tests[[#This Row],[input]], "=\s*\{?\K[\w,; .-]*", 1),
    _xlpm.a, INDEX(_xlpm.abk,1,1),
    _xlpm.b, INDEX(_xlpm.abk,1,2),
    _xlpm.k, --INDEX(_xlpm.abk,1,3),
    _xlpm.limbs_a, --_xlfn.TEXTSPLIT(_xlpm.a,",",";"),
    _xlpm.limbs_b, --_xlfn.TEXTSPLIT(_xlpm.b,",",";"),
    _xlpm.output, core_BigInt.NewtonRaphsonDiv(_xlpm.limbs_a, _xlpm.limbs_b, _xlpm.k),
    _xlfn.ARRAYTOTEXT(_xlpm.output, 1)
)</f>
        <v>{1;0;0;0;10}</v>
      </c>
      <c r="D364" s="9" t="b">
        <f>IF(ISERROR(NewtonRaphsonDiv_Tests[[#This Row],[expected]]),
    ERROR.TYPE(NewtonRaphsonDiv_Tests[[#This Row],[expected]]) = ERROR.TYPE(NewtonRaphsonDiv_Tests[[#This Row],[output]]),
    NewtonRaphsonDiv_Tests[[#This Row],[expected]] = NewtonRaphsonDiv_Tests[[#This Row],[output]]
)</f>
        <v>1</v>
      </c>
      <c r="E364" s="9" t="s">
        <v>558</v>
      </c>
    </row>
    <row r="365" spans="1:5" collapsed="1">
      <c r="D365" s="9" t="b">
        <f>AND(NewtonRaphsonDiv_Tests[passing])</f>
        <v>1</v>
      </c>
    </row>
    <row r="366" spans="1:5" ht="15" thickBot="1"/>
    <row r="367" spans="1:5" ht="18.5">
      <c r="A367" s="5" t="s">
        <v>579</v>
      </c>
      <c r="B367" s="5"/>
      <c r="C367" s="5"/>
      <c r="D367" s="5"/>
      <c r="E367" s="5"/>
    </row>
    <row r="368" spans="1:5">
      <c r="A368" t="s">
        <v>110</v>
      </c>
      <c r="B368" t="s">
        <v>35</v>
      </c>
      <c r="C368" t="s">
        <v>36</v>
      </c>
      <c r="D368" s="6" t="s">
        <v>48</v>
      </c>
      <c r="E368" t="s">
        <v>37</v>
      </c>
    </row>
    <row r="369" spans="1:5" hidden="1" outlineLevel="1">
      <c r="A369" s="9">
        <v>2</v>
      </c>
      <c r="B369" s="9" t="s">
        <v>129</v>
      </c>
      <c r="C369" s="9" t="str">
        <f>_xlfn.ARRAYTOTEXT(core_BigInt.NativePrimes(NativePrimes_Tests[[#This Row],[input]]), 1)</f>
        <v>{2}</v>
      </c>
      <c r="D369" s="9" t="b">
        <f>IF(ISERROR(NativePrimes_Tests[[#This Row],[expected]]),
    ERROR.TYPE(NativePrimes_Tests[[#This Row],[expected]]) = ERROR.TYPE(NativePrimes_Tests[[#This Row],[output]]),
    NativePrimes_Tests[[#This Row],[expected]] = NativePrimes_Tests[[#This Row],[output]]
)</f>
        <v>1</v>
      </c>
      <c r="E369" s="9" t="s">
        <v>574</v>
      </c>
    </row>
    <row r="370" spans="1:5" hidden="1" outlineLevel="1">
      <c r="A370" s="9">
        <v>10</v>
      </c>
      <c r="B370" s="9" t="s">
        <v>572</v>
      </c>
      <c r="C370" s="9" t="str">
        <f>_xlfn.ARRAYTOTEXT(core_BigInt.NativePrimes(NativePrimes_Tests[[#This Row],[input]]), 1)</f>
        <v>{2;3;5;7}</v>
      </c>
      <c r="D370" s="9" t="b">
        <f>IF(ISERROR(NativePrimes_Tests[[#This Row],[expected]]),
    ERROR.TYPE(NativePrimes_Tests[[#This Row],[expected]]) = ERROR.TYPE(NativePrimes_Tests[[#This Row],[output]]),
    NativePrimes_Tests[[#This Row],[expected]] = NativePrimes_Tests[[#This Row],[output]]
)</f>
        <v>1</v>
      </c>
      <c r="E370" s="9" t="s">
        <v>575</v>
      </c>
    </row>
    <row r="371" spans="1:5" hidden="1" outlineLevel="1">
      <c r="A371" s="9">
        <v>20</v>
      </c>
      <c r="B371" s="9" t="s">
        <v>573</v>
      </c>
      <c r="C371" s="9" t="str">
        <f>_xlfn.ARRAYTOTEXT(core_BigInt.NativePrimes(NativePrimes_Tests[[#This Row],[input]]), 1)</f>
        <v>{2;3;5;7;11;13;17;19}</v>
      </c>
      <c r="D371" s="9" t="b">
        <f>IF(ISERROR(NativePrimes_Tests[[#This Row],[expected]]),
    ERROR.TYPE(NativePrimes_Tests[[#This Row],[expected]]) = ERROR.TYPE(NativePrimes_Tests[[#This Row],[output]]),
    NativePrimes_Tests[[#This Row],[expected]] = NativePrimes_Tests[[#This Row],[output]]
)</f>
        <v>1</v>
      </c>
      <c r="E371" s="9" t="s">
        <v>576</v>
      </c>
    </row>
    <row r="372" spans="1:5" hidden="1" outlineLevel="1">
      <c r="A372" s="9">
        <v>1</v>
      </c>
      <c r="B372" s="9" t="e">
        <f>_xlfn.ARRAYTOTEXT(core_BigInt.NativePrimes(NativePrimes_Tests[[#This Row],[input]]), 1)</f>
        <v>#NUM!</v>
      </c>
      <c r="C372" s="9" t="e">
        <f>_xlfn.ARRAYTOTEXT(core_BigInt.NativePrimes(NativePrimes_Tests[[#This Row],[input]]), 1)</f>
        <v>#NUM!</v>
      </c>
      <c r="D372" s="9" t="b">
        <f>IF(ISERROR(NativePrimes_Tests[[#This Row],[expected]]),
    ERROR.TYPE(NativePrimes_Tests[[#This Row],[expected]]) = ERROR.TYPE(NativePrimes_Tests[[#This Row],[output]]),
    NativePrimes_Tests[[#This Row],[expected]] = NativePrimes_Tests[[#This Row],[output]]
)</f>
        <v>1</v>
      </c>
      <c r="E372" s="9" t="s">
        <v>577</v>
      </c>
    </row>
    <row r="373" spans="1:5" hidden="1" outlineLevel="1">
      <c r="A373" s="9">
        <v>0</v>
      </c>
      <c r="B373" s="9" t="e">
        <f>_xlfn.ARRAYTOTEXT(core_BigInt.NativePrimes(NativePrimes_Tests[[#This Row],[input]]), 1)</f>
        <v>#NUM!</v>
      </c>
      <c r="C373" s="9" t="e">
        <f>_xlfn.ARRAYTOTEXT(core_BigInt.NativePrimes(NativePrimes_Tests[[#This Row],[input]]), 1)</f>
        <v>#NUM!</v>
      </c>
      <c r="D373" s="9" t="b">
        <f>IF(ISERROR(NativePrimes_Tests[[#This Row],[expected]]),
    ERROR.TYPE(NativePrimes_Tests[[#This Row],[expected]]) = ERROR.TYPE(NativePrimes_Tests[[#This Row],[output]]),
    NativePrimes_Tests[[#This Row],[expected]] = NativePrimes_Tests[[#This Row],[output]]
)</f>
        <v>1</v>
      </c>
      <c r="E373" s="9" t="s">
        <v>578</v>
      </c>
    </row>
    <row r="374" spans="1:5" collapsed="1">
      <c r="A374" s="2"/>
      <c r="D374" t="b">
        <f>AND(NativePrimes_Tests[passing])</f>
        <v>1</v>
      </c>
    </row>
    <row r="375" spans="1:5" ht="15" thickBot="1"/>
    <row r="376" spans="1:5" ht="18.5">
      <c r="A376" s="5" t="s">
        <v>594</v>
      </c>
      <c r="B376" s="5"/>
      <c r="C376" s="5"/>
      <c r="D376" s="5"/>
      <c r="E376" s="5"/>
    </row>
    <row r="377" spans="1:5">
      <c r="A377" t="s">
        <v>110</v>
      </c>
      <c r="B377" t="s">
        <v>35</v>
      </c>
      <c r="C377" t="s">
        <v>36</v>
      </c>
      <c r="D377" s="6" t="s">
        <v>48</v>
      </c>
      <c r="E377" t="s">
        <v>37</v>
      </c>
    </row>
    <row r="378" spans="1:5" ht="29" hidden="1" outlineLevel="1">
      <c r="A378" s="12" t="s">
        <v>280</v>
      </c>
      <c r="B378" s="7" t="s">
        <v>287</v>
      </c>
      <c r="C378" s="12" t="str" cm="1">
        <f t="array" ref="C378">_xlfn.LET(
    _xlpm.ab, _xlfn.REGEXEXTRACT(UTextMul_Tests[[#This Row],[input]], "=\s*\{?\K[\w,; .-]*", 1),
    _xlpm.a, INDEX(_xlpm.ab,1,1),
    _xlpm.b, INDEX(_xlpm.ab,1,2),
    core_BigInt.UTextMul(_xlpm.a, _xlpm.b)
)</f>
        <v>998001</v>
      </c>
      <c r="D378" s="9" t="b">
        <f>IF(ISERROR(UTextMul_Tests[[#This Row],[expected]]),
    ERROR.TYPE(UTextMul_Tests[[#This Row],[expected]]) = ERROR.TYPE(UTextMul_Tests[[#This Row],[output]]),
    UTextMul_Tests[[#This Row],[expected]] = UTextMul_Tests[[#This Row],[output]]
)</f>
        <v>1</v>
      </c>
      <c r="E378" s="12" t="s">
        <v>600</v>
      </c>
    </row>
    <row r="379" spans="1:5" ht="29" hidden="1" outlineLevel="1">
      <c r="A379" s="12" t="s">
        <v>595</v>
      </c>
      <c r="B379" s="7" t="s">
        <v>596</v>
      </c>
      <c r="C379" s="12" t="str" cm="1">
        <f t="array" ref="C379">_xlfn.LET(
    _xlpm.ab, _xlfn.REGEXEXTRACT(UTextMul_Tests[[#This Row],[input]], "=\s*\{?\K[\w,; .-]*", 1),
    _xlpm.a, INDEX(_xlpm.ab,1,1),
    _xlpm.b, INDEX(_xlpm.ab,1,2),
    core_BigInt.UTextMul(_xlpm.a, _xlpm.b)
)</f>
        <v>246912</v>
      </c>
      <c r="D379" s="9" t="b">
        <f>IF(ISERROR(UTextMul_Tests[[#This Row],[expected]]),
    ERROR.TYPE(UTextMul_Tests[[#This Row],[expected]]) = ERROR.TYPE(UTextMul_Tests[[#This Row],[output]]),
    UTextMul_Tests[[#This Row],[expected]] = UTextMul_Tests[[#This Row],[output]]
)</f>
        <v>1</v>
      </c>
      <c r="E379" s="12" t="s">
        <v>601</v>
      </c>
    </row>
    <row r="380" spans="1:5" ht="29" hidden="1" outlineLevel="1">
      <c r="A380" s="12" t="s">
        <v>597</v>
      </c>
      <c r="B380" s="7" t="s">
        <v>598</v>
      </c>
      <c r="C380" s="12" t="str" cm="1">
        <f t="array" ref="C380">_xlfn.LET(
    _xlpm.ab, _xlfn.REGEXEXTRACT(UTextMul_Tests[[#This Row],[input]], "=\s*\{?\K[\w,; .-]*", 1),
    _xlpm.a, INDEX(_xlpm.ab,1,1),
    _xlpm.b, INDEX(_xlpm.ab,1,2),
    core_BigInt.UTextMul(_xlpm.a, _xlpm.b)
)</f>
        <v>1000000</v>
      </c>
      <c r="D380" s="9" t="b">
        <f>IF(ISERROR(UTextMul_Tests[[#This Row],[expected]]),
    ERROR.TYPE(UTextMul_Tests[[#This Row],[expected]]) = ERROR.TYPE(UTextMul_Tests[[#This Row],[output]]),
    UTextMul_Tests[[#This Row],[expected]] = UTextMul_Tests[[#This Row],[output]]
)</f>
        <v>1</v>
      </c>
      <c r="E380" s="12" t="s">
        <v>602</v>
      </c>
    </row>
    <row r="381" spans="1:5" ht="29" hidden="1" outlineLevel="1">
      <c r="A381" s="12" t="s">
        <v>599</v>
      </c>
      <c r="B381" s="7" t="s">
        <v>4</v>
      </c>
      <c r="C381" s="12" t="str" cm="1">
        <f t="array" ref="C381">_xlfn.LET(
    _xlpm.ab, _xlfn.REGEXEXTRACT(UTextMul_Tests[[#This Row],[input]], "=\s*\{?\K[\w,; .-]*", 1),
    _xlpm.a, INDEX(_xlpm.ab,1,1),
    _xlpm.b, INDEX(_xlpm.ab,1,2),
    core_BigInt.UTextMul(_xlpm.a, _xlpm.b)
)</f>
        <v>0</v>
      </c>
      <c r="D381" s="9" t="b">
        <f>IF(ISERROR(UTextMul_Tests[[#This Row],[expected]]),
    ERROR.TYPE(UTextMul_Tests[[#This Row],[expected]]) = ERROR.TYPE(UTextMul_Tests[[#This Row],[output]]),
    UTextMul_Tests[[#This Row],[expected]] = UTextMul_Tests[[#This Row],[output]]
)</f>
        <v>1</v>
      </c>
      <c r="E381" s="12" t="s">
        <v>298</v>
      </c>
    </row>
    <row r="382" spans="1:5" ht="29" hidden="1" outlineLevel="1">
      <c r="A382" s="12" t="s">
        <v>284</v>
      </c>
      <c r="B382" s="7" t="s">
        <v>286</v>
      </c>
      <c r="C382" s="12" t="str" cm="1">
        <f t="array" ref="C382">_xlfn.LET(
    _xlpm.ab, _xlfn.REGEXEXTRACT(UTextMul_Tests[[#This Row],[input]], "=\s*\{?\K[\w,; .-]*", 1),
    _xlpm.a, INDEX(_xlpm.ab,1,1),
    _xlpm.b, INDEX(_xlpm.ab,1,2),
    core_BigInt.UTextMul(_xlpm.a, _xlpm.b)
)</f>
        <v>999999999999999999</v>
      </c>
      <c r="D382" s="9" t="b">
        <f>IF(ISERROR(UTextMul_Tests[[#This Row],[expected]]),
    ERROR.TYPE(UTextMul_Tests[[#This Row],[expected]]) = ERROR.TYPE(UTextMul_Tests[[#This Row],[output]]),
    UTextMul_Tests[[#This Row],[expected]] = UTextMul_Tests[[#This Row],[output]]
)</f>
        <v>1</v>
      </c>
      <c r="E382" s="12" t="s">
        <v>299</v>
      </c>
    </row>
    <row r="383" spans="1:5" hidden="1" outlineLevel="1">
      <c r="A383" s="12"/>
      <c r="B383" s="12"/>
      <c r="C383" s="12"/>
      <c r="D383" s="9" t="b">
        <f>AND(UTextMul_Tests[passing])</f>
        <v>1</v>
      </c>
      <c r="E383" s="12"/>
    </row>
    <row r="384" spans="1:5" ht="15" collapsed="1" thickBot="1"/>
    <row r="385" spans="1:5" ht="18.5">
      <c r="A385" s="5" t="s">
        <v>582</v>
      </c>
      <c r="B385" s="5"/>
      <c r="C385" s="5"/>
      <c r="D385" s="5"/>
      <c r="E385" s="5"/>
    </row>
    <row r="386" spans="1:5">
      <c r="A386" t="s">
        <v>110</v>
      </c>
      <c r="B386" t="s">
        <v>35</v>
      </c>
      <c r="C386" t="s">
        <v>36</v>
      </c>
      <c r="D386" t="s">
        <v>48</v>
      </c>
      <c r="E386" t="s">
        <v>37</v>
      </c>
    </row>
    <row r="387" spans="1:5" hidden="1" outlineLevel="1">
      <c r="A387" s="12" t="s">
        <v>583</v>
      </c>
      <c r="B387" s="7" t="s">
        <v>49</v>
      </c>
      <c r="C387" s="12" t="str" cm="1">
        <f t="array" ref="C387">_xlfn.LET(
    _xlpm.big_ints, _xlfn.REGEXEXTRACT(TextTreeProd_Tests37[[#This Row],[input]], "{\K[\w,; .-]*"),
    _xlpm.big_int_arr, _xlfn.TEXTSPLIT(_xlpm.big_ints,",",";"),
    core_BigInt.TextTreeProd(_xlpm.big_int_arr)
)</f>
        <v>5</v>
      </c>
      <c r="D387" s="12" t="b">
        <f>IF(ISERROR(TextTreeProd_Tests37[[#This Row],[expected]]),
    ERROR.TYPE(TextTreeProd_Tests37[[#This Row],[expected]]) = ERROR.TYPE(TextTreeProd_Tests37[[#This Row],[output]]),
    TextTreeProd_Tests37[[#This Row],[expected]] = TextTreeProd_Tests37[[#This Row],[output]]
)</f>
        <v>1</v>
      </c>
      <c r="E387" s="12" t="s">
        <v>593</v>
      </c>
    </row>
    <row r="388" spans="1:5" hidden="1" outlineLevel="1">
      <c r="A388" s="12" t="s">
        <v>584</v>
      </c>
      <c r="B388" s="7" t="s">
        <v>587</v>
      </c>
      <c r="C388" s="12" t="str" cm="1">
        <f t="array" ref="C388">_xlfn.LET(
    _xlpm.big_ints, _xlfn.REGEXEXTRACT(TextTreeProd_Tests37[[#This Row],[input]], "{\K[\w,; .-]*"),
    _xlpm.big_int_arr, _xlfn.TEXTSPLIT(_xlpm.big_ints,",",";"),
    core_BigInt.TextTreeProd(_xlpm.big_int_arr)
)</f>
        <v>6</v>
      </c>
      <c r="D388" s="12" t="b">
        <f>IF(ISERROR(TextTreeProd_Tests37[[#This Row],[expected]]),
    ERROR.TYPE(TextTreeProd_Tests37[[#This Row],[expected]]) = ERROR.TYPE(TextTreeProd_Tests37[[#This Row],[output]]),
    TextTreeProd_Tests37[[#This Row],[expected]] = TextTreeProd_Tests37[[#This Row],[output]]
)</f>
        <v>1</v>
      </c>
      <c r="E388" s="12" t="s">
        <v>590</v>
      </c>
    </row>
    <row r="389" spans="1:5" hidden="1" outlineLevel="1">
      <c r="A389" s="12" t="s">
        <v>585</v>
      </c>
      <c r="B389" s="7" t="s">
        <v>588</v>
      </c>
      <c r="C389" s="12" t="str" cm="1">
        <f t="array" ref="C389">_xlfn.LET(
    _xlpm.big_ints, _xlfn.REGEXEXTRACT(TextTreeProd_Tests37[[#This Row],[input]], "{\K[\w,; .-]*"),
    _xlpm.big_int_arr, _xlfn.TEXTSPLIT(_xlpm.big_ints,",",";"),
    core_BigInt.TextTreeProd(_xlpm.big_int_arr)
)</f>
        <v>24</v>
      </c>
      <c r="D389" s="12" t="b">
        <f>IF(ISERROR(TextTreeProd_Tests37[[#This Row],[expected]]),
    ERROR.TYPE(TextTreeProd_Tests37[[#This Row],[expected]]) = ERROR.TYPE(TextTreeProd_Tests37[[#This Row],[output]]),
    TextTreeProd_Tests37[[#This Row],[expected]] = TextTreeProd_Tests37[[#This Row],[output]]
)</f>
        <v>1</v>
      </c>
      <c r="E389" s="12" t="s">
        <v>591</v>
      </c>
    </row>
    <row r="390" spans="1:5" hidden="1" outlineLevel="1">
      <c r="A390" s="12" t="s">
        <v>586</v>
      </c>
      <c r="B390" s="7" t="s">
        <v>589</v>
      </c>
      <c r="C390" s="12" t="str" cm="1">
        <f t="array" ref="C390">_xlfn.LET(
    _xlpm.big_ints, _xlfn.REGEXEXTRACT(TextTreeProd_Tests37[[#This Row],[input]], "{\K[\w,; .-]*"),
    _xlpm.big_int_arr, _xlfn.TEXTSPLIT(_xlpm.big_ints,",",";"),
    core_BigInt.TextTreeProd(_xlpm.big_int_arr)
)</f>
        <v>120</v>
      </c>
      <c r="D390" s="12" t="b">
        <f>IF(ISERROR(TextTreeProd_Tests37[[#This Row],[expected]]),
    ERROR.TYPE(TextTreeProd_Tests37[[#This Row],[expected]]) = ERROR.TYPE(TextTreeProd_Tests37[[#This Row],[output]]),
    TextTreeProd_Tests37[[#This Row],[expected]] = TextTreeProd_Tests37[[#This Row],[output]]
)</f>
        <v>1</v>
      </c>
      <c r="E390" s="12" t="s">
        <v>592</v>
      </c>
    </row>
    <row r="391" spans="1:5" collapsed="1">
      <c r="D391" s="9" t="b">
        <f>AND(TextTreeProd_Tests37[passing])</f>
        <v>1</v>
      </c>
    </row>
    <row r="392" spans="1:5" ht="15" thickBot="1"/>
    <row r="393" spans="1:5" ht="18.5">
      <c r="A393" s="5" t="s">
        <v>615</v>
      </c>
      <c r="B393" s="5"/>
      <c r="C393" s="5"/>
      <c r="D393" s="5"/>
      <c r="E393" s="5"/>
    </row>
    <row r="394" spans="1:5">
      <c r="A394" t="s">
        <v>110</v>
      </c>
      <c r="B394" t="s">
        <v>35</v>
      </c>
      <c r="C394" t="s">
        <v>36</v>
      </c>
      <c r="D394" s="6" t="s">
        <v>48</v>
      </c>
      <c r="E394" t="s">
        <v>37</v>
      </c>
    </row>
    <row r="395" spans="1:5" hidden="1" outlineLevel="1">
      <c r="A395" s="9" t="s">
        <v>4</v>
      </c>
      <c r="B395" s="9" t="s">
        <v>53</v>
      </c>
      <c r="C395" s="9" t="str" cm="1">
        <f t="array" ref="C395">BigInt.Fact(Fact_Tests[[#This Row],[input]])</f>
        <v>1</v>
      </c>
      <c r="D395" s="9" t="b">
        <f>IF(ISERROR(Fact_Tests[[#This Row],[expected]]),
    ERROR.TYPE(Fact_Tests[[#This Row],[expected]]) = ERROR.TYPE(Fact_Tests[[#This Row],[output]]),
    Fact_Tests[[#This Row],[expected]] = Fact_Tests[[#This Row],[output]]
)</f>
        <v>1</v>
      </c>
      <c r="E395" s="9" t="s">
        <v>603</v>
      </c>
    </row>
    <row r="396" spans="1:5" hidden="1" outlineLevel="1">
      <c r="A396" s="9" t="s">
        <v>53</v>
      </c>
      <c r="B396" s="9" t="s">
        <v>53</v>
      </c>
      <c r="C396" s="9" t="str" cm="1">
        <f t="array" ref="C396">BigInt.Fact(Fact_Tests[[#This Row],[input]])</f>
        <v>1</v>
      </c>
      <c r="D396" s="9" t="b">
        <f>IF(ISERROR(Fact_Tests[[#This Row],[expected]]),
    ERROR.TYPE(Fact_Tests[[#This Row],[expected]]) = ERROR.TYPE(Fact_Tests[[#This Row],[output]]),
    Fact_Tests[[#This Row],[expected]] = Fact_Tests[[#This Row],[output]]
)</f>
        <v>1</v>
      </c>
      <c r="E396" s="9" t="s">
        <v>604</v>
      </c>
    </row>
    <row r="397" spans="1:5" hidden="1" outlineLevel="1">
      <c r="A397" s="9" t="s">
        <v>49</v>
      </c>
      <c r="B397" s="9" t="s">
        <v>589</v>
      </c>
      <c r="C397" s="9" t="str" cm="1">
        <f t="array" ref="C397">BigInt.Fact(Fact_Tests[[#This Row],[input]])</f>
        <v>120</v>
      </c>
      <c r="D397" s="9" t="b">
        <f>IF(ISERROR(Fact_Tests[[#This Row],[expected]]),
    ERROR.TYPE(Fact_Tests[[#This Row],[expected]]) = ERROR.TYPE(Fact_Tests[[#This Row],[output]]),
    Fact_Tests[[#This Row],[expected]] = Fact_Tests[[#This Row],[output]]
)</f>
        <v>1</v>
      </c>
      <c r="E397" s="9" t="s">
        <v>605</v>
      </c>
    </row>
    <row r="398" spans="1:5" hidden="1" outlineLevel="1">
      <c r="A398" s="9" t="s">
        <v>610</v>
      </c>
      <c r="B398" s="9" t="s">
        <v>611</v>
      </c>
      <c r="C398" s="9" t="str" cm="1">
        <f t="array" ref="C398">BigInt.Fact(Fact_Tests[[#This Row],[input]])</f>
        <v>3628800</v>
      </c>
      <c r="D398" s="9" t="b">
        <f>IF(ISERROR(Fact_Tests[[#This Row],[expected]]),
    ERROR.TYPE(Fact_Tests[[#This Row],[expected]]) = ERROR.TYPE(Fact_Tests[[#This Row],[output]]),
    Fact_Tests[[#This Row],[expected]] = Fact_Tests[[#This Row],[output]]
)</f>
        <v>1</v>
      </c>
      <c r="E398" s="9" t="s">
        <v>606</v>
      </c>
    </row>
    <row r="399" spans="1:5" hidden="1" outlineLevel="1">
      <c r="A399" s="9" t="s">
        <v>612</v>
      </c>
      <c r="B399" s="9" t="e">
        <v>#NUM!</v>
      </c>
      <c r="C399" s="9" t="e" cm="1">
        <f t="array" ref="C399">BigInt.Fact(Fact_Tests[[#This Row],[input]])</f>
        <v>#NUM!</v>
      </c>
      <c r="D399" s="9" t="b">
        <f>IF(ISERROR(Fact_Tests[[#This Row],[expected]]),
    ERROR.TYPE(Fact_Tests[[#This Row],[expected]]) = ERROR.TYPE(Fact_Tests[[#This Row],[output]]),
    Fact_Tests[[#This Row],[expected]] = Fact_Tests[[#This Row],[output]]
)</f>
        <v>1</v>
      </c>
      <c r="E399" s="9" t="s">
        <v>607</v>
      </c>
    </row>
    <row r="400" spans="1:5" hidden="1" outlineLevel="1">
      <c r="A400" s="9" t="s">
        <v>613</v>
      </c>
      <c r="B400" s="9" t="e">
        <v>#NUM!</v>
      </c>
      <c r="C400" s="9" t="e" cm="1">
        <f t="array" ref="C400">BigInt.Fact(Fact_Tests[[#This Row],[input]])</f>
        <v>#NUM!</v>
      </c>
      <c r="D400" s="9" t="b">
        <f>IF(ISERROR(Fact_Tests[[#This Row],[expected]]),
    ERROR.TYPE(Fact_Tests[[#This Row],[expected]]) = ERROR.TYPE(Fact_Tests[[#This Row],[output]]),
    Fact_Tests[[#This Row],[expected]] = Fact_Tests[[#This Row],[output]]
)</f>
        <v>1</v>
      </c>
      <c r="E400" s="9" t="s">
        <v>608</v>
      </c>
    </row>
    <row r="401" spans="1:5" hidden="1" outlineLevel="1">
      <c r="A401" s="9" t="s">
        <v>614</v>
      </c>
      <c r="B401" s="9" t="e">
        <v>#NUM!</v>
      </c>
      <c r="C401" s="9" t="e" cm="1">
        <f t="array" ref="C401">BigInt.Fact(Fact_Tests[[#This Row],[input]])</f>
        <v>#NUM!</v>
      </c>
      <c r="D401" s="9" t="b">
        <f>IF(ISERROR(Fact_Tests[[#This Row],[expected]]),
    ERROR.TYPE(Fact_Tests[[#This Row],[expected]]) = ERROR.TYPE(Fact_Tests[[#This Row],[output]]),
    Fact_Tests[[#This Row],[expected]] = Fact_Tests[[#This Row],[output]]
)</f>
        <v>1</v>
      </c>
      <c r="E401" s="9" t="s">
        <v>609</v>
      </c>
    </row>
    <row r="402" spans="1:5" collapsed="1">
      <c r="A402" s="2"/>
      <c r="D402" t="b">
        <f>AND(Fact_Tests[passing])</f>
        <v>1</v>
      </c>
    </row>
    <row r="403" spans="1:5" ht="15" thickBot="1"/>
    <row r="404" spans="1:5" ht="18.5">
      <c r="A404" s="5" t="s">
        <v>618</v>
      </c>
      <c r="B404" s="5"/>
      <c r="C404" s="5"/>
      <c r="D404" s="5"/>
      <c r="E404" s="5"/>
    </row>
    <row r="405" spans="1:5">
      <c r="A405" t="s">
        <v>110</v>
      </c>
      <c r="B405" t="s">
        <v>35</v>
      </c>
      <c r="C405" t="s">
        <v>36</v>
      </c>
      <c r="D405" t="s">
        <v>48</v>
      </c>
      <c r="E405" t="s">
        <v>37</v>
      </c>
    </row>
    <row r="406" spans="1:5" ht="29" hidden="1" outlineLevel="1">
      <c r="A406" s="12" t="s">
        <v>581</v>
      </c>
      <c r="B406" s="12" t="s">
        <v>619</v>
      </c>
      <c r="C406" s="12" t="str" cm="1">
        <f t="array" ref="C406">_xlfn.LET(
    _xlpm.n_primes, _xlfn.REGEXEXTRACT(NativeSwingExponents_Tests[[#This Row],[input]], "=\s*\{?\K[\w,; .-]*", 1),
    _xlpm.n, --INDEX(_xlpm.n_primes,1,1),
    _xlpm.primes, INDEX(_xlpm.n_primes,1,2),
    _xlpm.primes_arr, --_xlfn.TEXTSPLIT(_xlpm.primes,",",";"),
    _xlpm.output, core_BigInt.NativeSwingExponents(_xlpm.n, _xlpm.primes_arr),
    _xlfn.ARRAYTOTEXT(_xlpm.output, 1)
)</f>
        <v>{1;1;1}</v>
      </c>
      <c r="D406" s="12" t="b">
        <f>IF(ISERROR(NativeSwingExponents_Tests[[#This Row],[expected]]),
    ERROR.TYPE(NativeSwingExponents_Tests[[#This Row],[expected]]) = ERROR.TYPE(NativeSwingExponents_Tests[[#This Row],[output]]),
    NativeSwingExponents_Tests[[#This Row],[expected]] = NativeSwingExponents_Tests[[#This Row],[output]]
)</f>
        <v>1</v>
      </c>
      <c r="E406" s="12" t="s">
        <v>616</v>
      </c>
    </row>
    <row r="407" spans="1:5" ht="29" hidden="1" outlineLevel="1">
      <c r="A407" s="12" t="s">
        <v>580</v>
      </c>
      <c r="B407" s="12" t="s">
        <v>620</v>
      </c>
      <c r="C407" s="12" t="str" cm="1">
        <f t="array" ref="C407">_xlfn.LET(
    _xlpm.n_primes, _xlfn.REGEXEXTRACT(NativeSwingExponents_Tests[[#This Row],[input]], "=\s*\{?\K[\w,; .-]*", 1),
    _xlpm.n, --INDEX(_xlpm.n_primes,1,1),
    _xlpm.primes, INDEX(_xlpm.n_primes,1,2),
    _xlpm.primes_arr, --_xlfn.TEXTSPLIT(_xlpm.primes,",",";"),
    _xlpm.output, core_BigInt.NativeSwingExponents(_xlpm.n, _xlpm.primes_arr),
    _xlfn.ARRAYTOTEXT(_xlpm.output, 1)
)</f>
        <v>{2;2;0;1}</v>
      </c>
      <c r="D407" s="12" t="b">
        <f>IF(ISERROR(NativeSwingExponents_Tests[[#This Row],[expected]]),
    ERROR.TYPE(NativeSwingExponents_Tests[[#This Row],[expected]]) = ERROR.TYPE(NativeSwingExponents_Tests[[#This Row],[output]]),
    NativeSwingExponents_Tests[[#This Row],[expected]] = NativeSwingExponents_Tests[[#This Row],[output]]
)</f>
        <v>1</v>
      </c>
      <c r="E407" s="12" t="s">
        <v>617</v>
      </c>
    </row>
    <row r="408" spans="1:5" collapsed="1">
      <c r="D408" s="9" t="b">
        <f>AND(NativeSwingExponents_Tests[passing])</f>
        <v>1</v>
      </c>
    </row>
    <row r="409" spans="1:5" ht="15" thickBot="1"/>
    <row r="410" spans="1:5" ht="18.5">
      <c r="A410" s="5" t="s">
        <v>625</v>
      </c>
      <c r="B410" s="5"/>
      <c r="C410" s="5"/>
      <c r="D410" s="5"/>
      <c r="E410" s="5"/>
    </row>
    <row r="411" spans="1:5">
      <c r="A411" t="s">
        <v>110</v>
      </c>
      <c r="B411" t="s">
        <v>35</v>
      </c>
      <c r="C411" t="s">
        <v>36</v>
      </c>
      <c r="D411" t="s">
        <v>48</v>
      </c>
      <c r="E411" t="s">
        <v>37</v>
      </c>
    </row>
    <row r="412" spans="1:5" ht="29" hidden="1" outlineLevel="1">
      <c r="A412" s="12" t="s">
        <v>623</v>
      </c>
      <c r="B412" s="12" t="s">
        <v>589</v>
      </c>
      <c r="C412" s="12" t="str" cm="1">
        <f t="array" ref="C412">_xlfn.LET(
    _xlpm.n_primes, _xlfn.REGEXEXTRACT(PrimeSwingKernel_Tests[[#This Row],[input]], "=\s*\{?\K[\w,; .-]*", 1),
    _xlpm.n, --INDEX(_xlpm.n_primes,1,1),
    _xlpm.primes, INDEX(_xlpm.n_primes,1,2),
    _xlpm.primes_arr, --_xlfn.TEXTSPLIT(_xlpm.primes,",",";"),
    core_BigInt.PrimeSwingKernel(_xlpm.n, _xlpm.primes_arr)
)</f>
        <v>120</v>
      </c>
      <c r="D412" s="12" t="b">
        <f>IF(ISERROR(PrimeSwingKernel_Tests[[#This Row],[expected]]),
    ERROR.TYPE(PrimeSwingKernel_Tests[[#This Row],[expected]]) = ERROR.TYPE(PrimeSwingKernel_Tests[[#This Row],[output]]),
    PrimeSwingKernel_Tests[[#This Row],[expected]] = PrimeSwingKernel_Tests[[#This Row],[output]]
)</f>
        <v>1</v>
      </c>
      <c r="E412" s="12" t="s">
        <v>621</v>
      </c>
    </row>
    <row r="413" spans="1:5" ht="29" hidden="1" outlineLevel="1">
      <c r="A413" s="12" t="s">
        <v>624</v>
      </c>
      <c r="B413" s="12" t="s">
        <v>611</v>
      </c>
      <c r="C413" s="12" t="str" cm="1">
        <f t="array" ref="C413">_xlfn.LET(
    _xlpm.n_primes, _xlfn.REGEXEXTRACT(PrimeSwingKernel_Tests[[#This Row],[input]], "=\s*\{?\K[\w,; .-]*", 1),
    _xlpm.n, --INDEX(_xlpm.n_primes,1,1),
    _xlpm.primes, INDEX(_xlpm.n_primes,1,2),
    _xlpm.primes_arr, --_xlfn.TEXTSPLIT(_xlpm.primes,",",";"),
    core_BigInt.PrimeSwingKernel(_xlpm.n, _xlpm.primes_arr)
)</f>
        <v>3628800</v>
      </c>
      <c r="D413" s="12" t="b">
        <f>IF(ISERROR(PrimeSwingKernel_Tests[[#This Row],[expected]]),
    ERROR.TYPE(PrimeSwingKernel_Tests[[#This Row],[expected]]) = ERROR.TYPE(PrimeSwingKernel_Tests[[#This Row],[output]]),
    PrimeSwingKernel_Tests[[#This Row],[expected]] = PrimeSwingKernel_Tests[[#This Row],[output]]
)</f>
        <v>1</v>
      </c>
      <c r="E413" s="12" t="s">
        <v>622</v>
      </c>
    </row>
    <row r="414" spans="1:5" collapsed="1">
      <c r="D414" s="9" t="b">
        <f>AND(PrimeSwingKernel_Tests[passing])</f>
        <v>1</v>
      </c>
    </row>
    <row r="415" spans="1:5" ht="15" thickBot="1"/>
    <row r="416" spans="1:5" ht="18.5">
      <c r="A416" s="5" t="s">
        <v>626</v>
      </c>
      <c r="B416" s="5"/>
      <c r="C416" s="5"/>
      <c r="D416" s="5"/>
      <c r="E416" s="5"/>
    </row>
    <row r="417" spans="1:5">
      <c r="A417" t="s">
        <v>110</v>
      </c>
      <c r="B417" t="s">
        <v>35</v>
      </c>
      <c r="C417" t="s">
        <v>36</v>
      </c>
      <c r="D417" t="s">
        <v>48</v>
      </c>
      <c r="E417" t="s">
        <v>37</v>
      </c>
    </row>
    <row r="418" spans="1:5" ht="29" hidden="1" outlineLevel="1">
      <c r="A418" s="12" t="s">
        <v>630</v>
      </c>
      <c r="B418" s="12" t="s">
        <v>234</v>
      </c>
      <c r="C418" s="12" t="str" cm="1">
        <f t="array" ref="C418">_xlfn.LET(
    _xlpm.range_mode, _xlfn.REGEXEXTRACT(TreeCompare_Tests[[#This Row],[input]], "=\s*\{?\K[\w,; .-]*", 1),
    _xlpm.range, INDEX(_xlpm.range_mode,1,1),
    _xlpm.mode, --INDEX(_xlpm.range_mode,1,2),
    _xlpm.range_arr, _xlfn.TEXTSPLIT(_xlpm.range,",",";"),
    core_BigInt.TreeCompare(_xlpm.range_arr, _xlpm.mode)
)</f>
        <v>30</v>
      </c>
      <c r="D418" s="12" t="b">
        <f>IF(ISERROR(TreeCompare_Tests[[#This Row],[expected]]),
    ERROR.TYPE(TreeCompare_Tests[[#This Row],[expected]]) = ERROR.TYPE(TreeCompare_Tests[[#This Row],[output]]),
    TreeCompare_Tests[[#This Row],[expected]] = TreeCompare_Tests[[#This Row],[output]]
)</f>
        <v>1</v>
      </c>
      <c r="E418" s="12" t="s">
        <v>636</v>
      </c>
    </row>
    <row r="419" spans="1:5" ht="29" hidden="1" outlineLevel="1">
      <c r="A419" s="12" t="s">
        <v>631</v>
      </c>
      <c r="B419" s="12" t="s">
        <v>49</v>
      </c>
      <c r="C419" s="12" t="str" cm="1">
        <f t="array" ref="C419">_xlfn.LET(
    _xlpm.range_mode, _xlfn.REGEXEXTRACT(TreeCompare_Tests[[#This Row],[input]], "=\s*\{?\K[\w,; .-]*", 1),
    _xlpm.range, INDEX(_xlpm.range_mode,1,1),
    _xlpm.mode, --INDEX(_xlpm.range_mode,1,2),
    _xlpm.range_arr, _xlfn.TEXTSPLIT(_xlpm.range,",",";"),
    core_BigInt.TreeCompare(_xlpm.range_arr, _xlpm.mode)
)</f>
        <v>5</v>
      </c>
      <c r="D419" s="12" t="b">
        <f>IF(ISERROR(TreeCompare_Tests[[#This Row],[expected]]),
    ERROR.TYPE(TreeCompare_Tests[[#This Row],[expected]]) = ERROR.TYPE(TreeCompare_Tests[[#This Row],[output]]),
    TreeCompare_Tests[[#This Row],[expected]] = TreeCompare_Tests[[#This Row],[output]]
)</f>
        <v>1</v>
      </c>
      <c r="E419" s="12" t="s">
        <v>637</v>
      </c>
    </row>
    <row r="420" spans="1:5" ht="29" hidden="1" outlineLevel="1">
      <c r="A420" s="12" t="s">
        <v>632</v>
      </c>
      <c r="B420" s="12" t="s">
        <v>234</v>
      </c>
      <c r="C420" s="12" t="str" cm="1">
        <f t="array" ref="C420">_xlfn.LET(
    _xlpm.range_mode, _xlfn.REGEXEXTRACT(TreeCompare_Tests[[#This Row],[input]], "=\s*\{?\K[\w,; .-]*", 1),
    _xlpm.range, INDEX(_xlpm.range_mode,1,1),
    _xlpm.mode, --INDEX(_xlpm.range_mode,1,2),
    _xlpm.range_arr, _xlfn.TEXTSPLIT(_xlpm.range,",",";"),
    core_BigInt.TreeCompare(_xlpm.range_arr, _xlpm.mode)
)</f>
        <v>30</v>
      </c>
      <c r="D420" s="12" t="b">
        <f>IF(ISERROR(TreeCompare_Tests[[#This Row],[expected]]),
    ERROR.TYPE(TreeCompare_Tests[[#This Row],[expected]]) = ERROR.TYPE(TreeCompare_Tests[[#This Row],[output]]),
    TreeCompare_Tests[[#This Row],[expected]] = TreeCompare_Tests[[#This Row],[output]]
)</f>
        <v>1</v>
      </c>
      <c r="E420" s="12" t="s">
        <v>638</v>
      </c>
    </row>
    <row r="421" spans="1:5" ht="29" hidden="1" outlineLevel="1">
      <c r="A421" s="12" t="s">
        <v>633</v>
      </c>
      <c r="B421" s="12" t="s">
        <v>610</v>
      </c>
      <c r="C421" s="12" t="str" cm="1">
        <f t="array" ref="C421">_xlfn.LET(
    _xlpm.range_mode, _xlfn.REGEXEXTRACT(TreeCompare_Tests[[#This Row],[input]], "=\s*\{?\K[\w,; .-]*", 1),
    _xlpm.range, INDEX(_xlpm.range_mode,1,1),
    _xlpm.mode, --INDEX(_xlpm.range_mode,1,2),
    _xlpm.range_arr, _xlfn.TEXTSPLIT(_xlpm.range,",",";"),
    core_BigInt.TreeCompare(_xlpm.range_arr, _xlpm.mode)
)</f>
        <v>10</v>
      </c>
      <c r="D421" s="12" t="b">
        <f>IF(ISERROR(TreeCompare_Tests[[#This Row],[expected]]),
    ERROR.TYPE(TreeCompare_Tests[[#This Row],[expected]]) = ERROR.TYPE(TreeCompare_Tests[[#This Row],[output]]),
    TreeCompare_Tests[[#This Row],[expected]] = TreeCompare_Tests[[#This Row],[output]]
)</f>
        <v>1</v>
      </c>
      <c r="E421" s="12" t="s">
        <v>639</v>
      </c>
    </row>
    <row r="422" spans="1:5" ht="29" hidden="1" outlineLevel="1">
      <c r="A422" s="12" t="s">
        <v>634</v>
      </c>
      <c r="B422" s="12" t="s">
        <v>628</v>
      </c>
      <c r="C422" s="12" t="str" cm="1">
        <f t="array" ref="C422">_xlfn.LET(
    _xlpm.range_mode, _xlfn.REGEXEXTRACT(TreeCompare_Tests[[#This Row],[input]], "=\s*\{?\K[\w,; .-]*", 1),
    _xlpm.range, INDEX(_xlpm.range_mode,1,1),
    _xlpm.mode, --INDEX(_xlpm.range_mode,1,2),
    _xlpm.range_arr, _xlfn.TEXTSPLIT(_xlpm.range,",",";"),
    core_BigInt.TreeCompare(_xlpm.range_arr, _xlpm.mode)
)</f>
        <v>-10</v>
      </c>
      <c r="D422" s="12" t="b">
        <f>IF(ISERROR(TreeCompare_Tests[[#This Row],[expected]]),
    ERROR.TYPE(TreeCompare_Tests[[#This Row],[expected]]) = ERROR.TYPE(TreeCompare_Tests[[#This Row],[output]]),
    TreeCompare_Tests[[#This Row],[expected]] = TreeCompare_Tests[[#This Row],[output]]
)</f>
        <v>1</v>
      </c>
      <c r="E422" s="12" t="s">
        <v>640</v>
      </c>
    </row>
    <row r="423" spans="1:5" ht="29" hidden="1" outlineLevel="1">
      <c r="A423" s="12" t="s">
        <v>635</v>
      </c>
      <c r="B423" s="12" t="s">
        <v>49</v>
      </c>
      <c r="C423" s="12" t="str" cm="1">
        <f t="array" ref="C423">_xlfn.LET(
    _xlpm.range_mode, _xlfn.REGEXEXTRACT(TreeCompare_Tests[[#This Row],[input]], "=\s*\{?\K[\w,; .-]*", 1),
    _xlpm.range, INDEX(_xlpm.range_mode,1,1),
    _xlpm.mode, --INDEX(_xlpm.range_mode,1,2),
    _xlpm.range_arr, _xlfn.TEXTSPLIT(_xlpm.range,",",";"),
    core_BigInt.TreeCompare(_xlpm.range_arr, _xlpm.mode)
)</f>
        <v>5</v>
      </c>
      <c r="D423" s="12" t="b">
        <f>IF(ISERROR(TreeCompare_Tests[[#This Row],[expected]]),
    ERROR.TYPE(TreeCompare_Tests[[#This Row],[expected]]) = ERROR.TYPE(TreeCompare_Tests[[#This Row],[output]]),
    TreeCompare_Tests[[#This Row],[expected]] = TreeCompare_Tests[[#This Row],[output]]
)</f>
        <v>1</v>
      </c>
      <c r="E423" s="12" t="s">
        <v>641</v>
      </c>
    </row>
    <row r="424" spans="1:5" ht="29" hidden="1" outlineLevel="1">
      <c r="A424" s="12" t="s">
        <v>627</v>
      </c>
      <c r="B424" s="12" t="s">
        <v>629</v>
      </c>
      <c r="C424" s="12" t="str" cm="1">
        <f t="array" ref="C424">_xlfn.LET(
    _xlpm.range_mode, _xlfn.REGEXEXTRACT(TreeCompare_Tests[[#This Row],[input]], "=\s*\{?\K[\w,; .-]*", 1),
    _xlpm.range, INDEX(_xlpm.range_mode,1,1),
    _xlpm.mode, --INDEX(_xlpm.range_mode,1,2),
    _xlpm.range_arr, _xlfn.TEXTSPLIT(_xlpm.range,",",";"),
    core_BigInt.TreeCompare(_xlpm.range_arr, _xlpm.mode)
)</f>
        <v>42</v>
      </c>
      <c r="D424" s="12" t="b">
        <f>IF(ISERROR(TreeCompare_Tests[[#This Row],[expected]]),
    ERROR.TYPE(TreeCompare_Tests[[#This Row],[expected]]) = ERROR.TYPE(TreeCompare_Tests[[#This Row],[output]]),
    TreeCompare_Tests[[#This Row],[expected]] = TreeCompare_Tests[[#This Row],[output]]
)</f>
        <v>1</v>
      </c>
      <c r="E424" s="12" t="s">
        <v>642</v>
      </c>
    </row>
    <row r="425" spans="1:5" collapsed="1">
      <c r="D425" s="9" t="b">
        <f>AND(TreeCompare_Tests[passing])</f>
        <v>1</v>
      </c>
    </row>
    <row r="426" spans="1:5" ht="15" thickBot="1"/>
    <row r="427" spans="1:5" ht="18.5">
      <c r="A427" s="5" t="s">
        <v>644</v>
      </c>
      <c r="B427" s="5"/>
      <c r="C427" s="5"/>
      <c r="D427" s="5"/>
      <c r="E427" s="5"/>
    </row>
    <row r="428" spans="1:5">
      <c r="A428" t="s">
        <v>110</v>
      </c>
      <c r="B428" t="s">
        <v>35</v>
      </c>
      <c r="C428" t="s">
        <v>36</v>
      </c>
      <c r="D428" t="s">
        <v>48</v>
      </c>
      <c r="E428" t="s">
        <v>37</v>
      </c>
    </row>
    <row r="429" spans="1:5" hidden="1" outlineLevel="1">
      <c r="A429" s="12" t="s">
        <v>645</v>
      </c>
      <c r="B429" s="12" t="s">
        <v>648</v>
      </c>
      <c r="C429" s="12" t="str" cm="1">
        <f t="array" ref="C429">_xlfn.LET(
    _xlpm.range_mode, _xlfn.REGEXEXTRACT(Max_Tests[[#This Row],[input]], "=\s*\{?\K[\w,; .-]*", 1),
    _xlpm.range, INDEX(_xlpm.range_mode,1,1),
    _xlpm.range_arr, IFERROR(_xlfn.TEXTSPLIT(_xlpm.range,",",";"),_xlpm.range),
    BigInt.Max(_xlpm.range_arr)
)</f>
        <v>20</v>
      </c>
      <c r="D429" s="12" t="b">
        <f>IF(ISERROR(Max_Tests[[#This Row],[expected]]),
    ERROR.TYPE(Max_Tests[[#This Row],[expected]]) = ERROR.TYPE(Max_Tests[[#This Row],[output]]),
    Max_Tests[[#This Row],[expected]] = Max_Tests[[#This Row],[output]]
)</f>
        <v>1</v>
      </c>
      <c r="E429" s="12" t="s">
        <v>651</v>
      </c>
    </row>
    <row r="430" spans="1:5" hidden="1" outlineLevel="1">
      <c r="A430" s="12" t="s">
        <v>646</v>
      </c>
      <c r="B430" s="12" t="s">
        <v>649</v>
      </c>
      <c r="C430" s="12" t="str" cm="1">
        <f t="array" ref="C430">_xlfn.LET(
    _xlpm.range_mode, _xlfn.REGEXEXTRACT(Max_Tests[[#This Row],[input]], "=\s*\{?\K[\w,; .-]*", 1),
    _xlpm.range, INDEX(_xlpm.range_mode,1,1),
    _xlpm.range_arr, IFERROR(_xlfn.TEXTSPLIT(_xlpm.range,",",";"),_xlpm.range),
    BigInt.Max(_xlpm.range_arr)
)</f>
        <v>9</v>
      </c>
      <c r="D430" s="12" t="b">
        <f>IF(ISERROR(Max_Tests[[#This Row],[expected]]),
    ERROR.TYPE(Max_Tests[[#This Row],[expected]]) = ERROR.TYPE(Max_Tests[[#This Row],[output]]),
    Max_Tests[[#This Row],[expected]] = Max_Tests[[#This Row],[output]]
)</f>
        <v>1</v>
      </c>
      <c r="E430" s="12" t="s">
        <v>652</v>
      </c>
    </row>
    <row r="431" spans="1:5" hidden="1" outlineLevel="1">
      <c r="A431" s="12" t="s">
        <v>650</v>
      </c>
      <c r="B431" s="12" t="s">
        <v>4</v>
      </c>
      <c r="C431" s="12" t="str" cm="1">
        <f t="array" ref="C431">_xlfn.LET(
    _xlpm.range_mode, _xlfn.REGEXEXTRACT(Max_Tests[[#This Row],[input]], "=\s*\{?\K[\w,; .-]*", 1),
    _xlpm.range, INDEX(_xlpm.range_mode,1,1),
    _xlpm.range_arr, IFERROR(_xlfn.TEXTSPLIT(_xlpm.range,",",";"),_xlpm.range),
    BigInt.Max(_xlpm.range_arr)
)</f>
        <v>0</v>
      </c>
      <c r="D431" s="12" t="b">
        <f>IF(ISERROR(Max_Tests[[#This Row],[expected]]),
    ERROR.TYPE(Max_Tests[[#This Row],[expected]]) = ERROR.TYPE(Max_Tests[[#This Row],[output]]),
    Max_Tests[[#This Row],[expected]] = Max_Tests[[#This Row],[output]]
)</f>
        <v>1</v>
      </c>
      <c r="E431" s="12" t="s">
        <v>654</v>
      </c>
    </row>
    <row r="432" spans="1:5" hidden="1" outlineLevel="1">
      <c r="A432" s="12" t="s">
        <v>643</v>
      </c>
      <c r="B432" s="7" t="s">
        <v>4</v>
      </c>
      <c r="C432" s="12" t="str" cm="1">
        <f t="array" ref="C432">_xlfn.LET(
    _xlpm.range_mode, _xlfn.REGEXEXTRACT(Max_Tests[[#This Row],[input]], "=\s*\{?\K[\w,; .-]*", 1),
    _xlpm.range, INDEX(_xlpm.range_mode,1,1),
    _xlpm.range_arr, IFERROR(_xlfn.TEXTSPLIT(_xlpm.range,",",";"),_xlpm.range),
    BigInt.Max(_xlpm.range_arr)
)</f>
        <v>0</v>
      </c>
      <c r="D432" s="12" t="b">
        <f>IF(ISERROR(Max_Tests[[#This Row],[expected]]),
    ERROR.TYPE(Max_Tests[[#This Row],[expected]]) = ERROR.TYPE(Max_Tests[[#This Row],[output]]),
    Max_Tests[[#This Row],[expected]] = Max_Tests[[#This Row],[output]]
)</f>
        <v>1</v>
      </c>
      <c r="E432" s="12" t="s">
        <v>657</v>
      </c>
    </row>
    <row r="433" spans="1:5" hidden="1" outlineLevel="1">
      <c r="A433" s="12" t="s">
        <v>647</v>
      </c>
      <c r="B433" s="12" t="e">
        <v>#VALUE!</v>
      </c>
      <c r="C433" s="12" t="e" cm="1">
        <f t="array" ref="C433">_xlfn.LET(
    _xlpm.range_mode, _xlfn.REGEXEXTRACT(Max_Tests[[#This Row],[input]], "=\s*\{?\K[\w,; .-]*", 1),
    _xlpm.range, INDEX(_xlpm.range_mode,1,1),
    _xlpm.range_arr, IFERROR(_xlfn.TEXTSPLIT(_xlpm.range,",",";"),_xlpm.range),
    BigInt.Max(_xlpm.range_arr)
)</f>
        <v>#VALUE!</v>
      </c>
      <c r="D433" s="12" t="b">
        <f>IF(ISERROR(Max_Tests[[#This Row],[expected]]),
    ERROR.TYPE(Max_Tests[[#This Row],[expected]]) = ERROR.TYPE(Max_Tests[[#This Row],[output]]),
    Max_Tests[[#This Row],[expected]] = Max_Tests[[#This Row],[output]]
)</f>
        <v>1</v>
      </c>
      <c r="E433" s="12" t="s">
        <v>653</v>
      </c>
    </row>
    <row r="434" spans="1:5" ht="15" collapsed="1" thickBot="1">
      <c r="D434" s="9" t="b">
        <f>AND(Max_Tests[passing])</f>
        <v>1</v>
      </c>
    </row>
    <row r="435" spans="1:5" ht="18.5">
      <c r="A435" s="5" t="s">
        <v>655</v>
      </c>
      <c r="B435" s="5"/>
      <c r="C435" s="5"/>
      <c r="D435" s="5"/>
      <c r="E435" s="5"/>
    </row>
    <row r="436" spans="1:5">
      <c r="A436" t="s">
        <v>110</v>
      </c>
      <c r="B436" t="s">
        <v>35</v>
      </c>
      <c r="C436" t="s">
        <v>36</v>
      </c>
      <c r="D436" t="s">
        <v>48</v>
      </c>
      <c r="E436" t="s">
        <v>37</v>
      </c>
    </row>
    <row r="437" spans="1:5" hidden="1" outlineLevel="1">
      <c r="A437" s="12" t="s">
        <v>645</v>
      </c>
      <c r="B437" s="7" t="s">
        <v>49</v>
      </c>
      <c r="C437" s="12" t="str" cm="1">
        <f t="array" ref="C437">_xlfn.LET(
    _xlpm.range_mode, _xlfn.REGEXEXTRACT(Min_Tests[[#This Row],[input]], "=\s*\{?\K[\w,; .-]*", 1),
    _xlpm.range, INDEX(_xlpm.range_mode,1,1),
    _xlpm.range_arr, IFERROR(_xlfn.TEXTSPLIT(_xlpm.range,",",";"),_xlpm.range),
    BigInt.Min(_xlpm.range_arr)
)</f>
        <v>5</v>
      </c>
      <c r="D437" s="12" t="b">
        <f>IF(ISERROR(Min_Tests[[#This Row],[expected]]),
    ERROR.TYPE(Min_Tests[[#This Row],[expected]]) = ERROR.TYPE(Min_Tests[[#This Row],[output]]),
    Min_Tests[[#This Row],[expected]] = Min_Tests[[#This Row],[output]]
)</f>
        <v>1</v>
      </c>
      <c r="E437" s="12" t="s">
        <v>651</v>
      </c>
    </row>
    <row r="438" spans="1:5" hidden="1" outlineLevel="1">
      <c r="A438" s="12" t="s">
        <v>646</v>
      </c>
      <c r="B438" s="7" t="s">
        <v>656</v>
      </c>
      <c r="C438" s="12" t="str" cm="1">
        <f t="array" ref="C438">_xlfn.LET(
    _xlpm.range_mode, _xlfn.REGEXEXTRACT(Min_Tests[[#This Row],[input]], "=\s*\{?\K[\w,; .-]*", 1),
    _xlpm.range, INDEX(_xlpm.range_mode,1,1),
    _xlpm.range_arr, IFERROR(_xlfn.TEXTSPLIT(_xlpm.range,",",";"),_xlpm.range),
    BigInt.Min(_xlpm.range_arr)
)</f>
        <v>7</v>
      </c>
      <c r="D438" s="12" t="b">
        <f>IF(ISERROR(Min_Tests[[#This Row],[expected]]),
    ERROR.TYPE(Min_Tests[[#This Row],[expected]]) = ERROR.TYPE(Min_Tests[[#This Row],[output]]),
    Min_Tests[[#This Row],[expected]] = Min_Tests[[#This Row],[output]]
)</f>
        <v>1</v>
      </c>
      <c r="E438" s="12" t="s">
        <v>652</v>
      </c>
    </row>
    <row r="439" spans="1:5" hidden="1" outlineLevel="1">
      <c r="A439" s="12" t="s">
        <v>650</v>
      </c>
      <c r="B439" s="7" t="s">
        <v>4</v>
      </c>
      <c r="C439" s="12" t="str" cm="1">
        <f t="array" ref="C439">_xlfn.LET(
    _xlpm.range_mode, _xlfn.REGEXEXTRACT(Min_Tests[[#This Row],[input]], "=\s*\{?\K[\w,; .-]*", 1),
    _xlpm.range, INDEX(_xlpm.range_mode,1,1),
    _xlpm.range_arr, IFERROR(_xlfn.TEXTSPLIT(_xlpm.range,",",";"),_xlpm.range),
    BigInt.Min(_xlpm.range_arr)
)</f>
        <v>0</v>
      </c>
      <c r="D439" s="12" t="b">
        <f>IF(ISERROR(Min_Tests[[#This Row],[expected]]),
    ERROR.TYPE(Min_Tests[[#This Row],[expected]]) = ERROR.TYPE(Min_Tests[[#This Row],[output]]),
    Min_Tests[[#This Row],[expected]] = Min_Tests[[#This Row],[output]]
)</f>
        <v>1</v>
      </c>
      <c r="E439" s="12" t="s">
        <v>654</v>
      </c>
    </row>
    <row r="440" spans="1:5" hidden="1" outlineLevel="1">
      <c r="A440" s="12" t="s">
        <v>643</v>
      </c>
      <c r="B440" s="7" t="s">
        <v>4</v>
      </c>
      <c r="C440" s="12" t="str" cm="1">
        <f t="array" ref="C440">_xlfn.LET(
    _xlpm.range_mode, _xlfn.REGEXEXTRACT(Min_Tests[[#This Row],[input]], "=\s*\{?\K[\w,; .-]*", 1),
    _xlpm.range, INDEX(_xlpm.range_mode,1,1),
    _xlpm.range_arr, IFERROR(_xlfn.TEXTSPLIT(_xlpm.range,",",";"),_xlpm.range),
    BigInt.Min(_xlpm.range_arr)
)</f>
        <v>0</v>
      </c>
      <c r="D440" s="12" t="b">
        <f>IF(ISERROR(Min_Tests[[#This Row],[expected]]),
    ERROR.TYPE(Min_Tests[[#This Row],[expected]]) = ERROR.TYPE(Min_Tests[[#This Row],[output]]),
    Min_Tests[[#This Row],[expected]] = Min_Tests[[#This Row],[output]]
)</f>
        <v>1</v>
      </c>
      <c r="E440" s="12" t="s">
        <v>657</v>
      </c>
    </row>
    <row r="441" spans="1:5" hidden="1" outlineLevel="1">
      <c r="A441" s="12" t="s">
        <v>647</v>
      </c>
      <c r="B441" s="12" t="e">
        <v>#VALUE!</v>
      </c>
      <c r="C441" s="12" t="e" cm="1">
        <f t="array" ref="C441">_xlfn.LET(
    _xlpm.range_mode, _xlfn.REGEXEXTRACT(Min_Tests[[#This Row],[input]], "=\s*\{?\K[\w,; .-]*", 1),
    _xlpm.range, INDEX(_xlpm.range_mode,1,1),
    _xlpm.range_arr, IFERROR(_xlfn.TEXTSPLIT(_xlpm.range,",",";"),_xlpm.range),
    BigInt.Min(_xlpm.range_arr)
)</f>
        <v>#VALUE!</v>
      </c>
      <c r="D441" s="12" t="b">
        <f>IF(ISERROR(Min_Tests[[#This Row],[expected]]),
    ERROR.TYPE(Min_Tests[[#This Row],[expected]]) = ERROR.TYPE(Min_Tests[[#This Row],[output]]),
    Min_Tests[[#This Row],[expected]] = Min_Tests[[#This Row],[output]]
)</f>
        <v>1</v>
      </c>
      <c r="E441" s="12" t="s">
        <v>653</v>
      </c>
    </row>
    <row r="442" spans="1:5" collapsed="1">
      <c r="D442" s="9" t="b">
        <f>AND(Min_Tests[passing])</f>
        <v>1</v>
      </c>
    </row>
    <row r="457" ht="14.5" customHeight="1"/>
    <row r="460" ht="14.5" customHeight="1"/>
    <row r="463" ht="14.5" customHeight="1"/>
    <row r="465" spans="1:2">
      <c r="A465" cm="1">
        <f t="array" ref="A465:A466">LEN(B465:B466)</f>
        <v>68</v>
      </c>
      <c r="B465" t="str" cm="1">
        <f t="array" ref="B465">BigInt.Fact(B468)</f>
        <v>80658175170943878571660636856403766975289505440883277824000000000000</v>
      </c>
    </row>
    <row r="466" spans="1:2" ht="14.5" customHeight="1">
      <c r="A466">
        <v>68</v>
      </c>
      <c r="B466" t="str" cm="1">
        <f t="array" ref="B466">_xlfn._xlws.PY(0,0,B468,B469)</f>
        <v>80658175170943878571660636856403766975289505440883277824000000000000</v>
      </c>
    </row>
    <row r="467" spans="1:2">
      <c r="B467" t="b">
        <f>B465 = B466</f>
        <v>1</v>
      </c>
    </row>
    <row r="468" spans="1:2">
      <c r="A468">
        <f>LEN(B468)</f>
        <v>2</v>
      </c>
      <c r="B468" s="2">
        <v>52</v>
      </c>
    </row>
    <row r="469" spans="1:2" ht="14.5" customHeight="1">
      <c r="B469">
        <v>12</v>
      </c>
    </row>
  </sheetData>
  <sortState xmlns:xlrd2="http://schemas.microsoft.com/office/spreadsheetml/2017/richdata2" ref="A458:E460">
    <sortCondition ref="A456:A460"/>
  </sortState>
  <conditionalFormatting sqref="B467">
    <cfRule type="cellIs" dxfId="60" priority="33" operator="equal">
      <formula>TRUE</formula>
    </cfRule>
  </conditionalFormatting>
  <conditionalFormatting sqref="D8:D26 D150:D160 D265:D280 D284:D289 D317:D324 D378:D383 D387:D391 D406:D408 D429:D434 D437:D442">
    <cfRule type="expression" dxfId="59" priority="103">
      <formula>TRUE</formula>
    </cfRule>
    <cfRule type="expression" dxfId="58" priority="102" stopIfTrue="1">
      <formula>$D8</formula>
    </cfRule>
  </conditionalFormatting>
  <conditionalFormatting sqref="D30:D37 D86:D94 D118:D124">
    <cfRule type="expression" dxfId="57" priority="101">
      <formula>TRUE</formula>
    </cfRule>
    <cfRule type="expression" dxfId="56" priority="100" stopIfTrue="1">
      <formula>$D30</formula>
    </cfRule>
  </conditionalFormatting>
  <conditionalFormatting sqref="D41:D46">
    <cfRule type="expression" dxfId="55" priority="97">
      <formula>TRUE</formula>
    </cfRule>
    <cfRule type="expression" dxfId="54" priority="96" stopIfTrue="1">
      <formula>$D41</formula>
    </cfRule>
  </conditionalFormatting>
  <conditionalFormatting sqref="D50:D60">
    <cfRule type="expression" dxfId="53" priority="87">
      <formula>TRUE</formula>
    </cfRule>
    <cfRule type="expression" dxfId="52" priority="86" stopIfTrue="1">
      <formula>$D50</formula>
    </cfRule>
  </conditionalFormatting>
  <conditionalFormatting sqref="D64:D71">
    <cfRule type="expression" dxfId="51" priority="95">
      <formula>TRUE</formula>
    </cfRule>
    <cfRule type="expression" dxfId="50" priority="94" stopIfTrue="1">
      <formula>$D64</formula>
    </cfRule>
  </conditionalFormatting>
  <conditionalFormatting sqref="D75:D82">
    <cfRule type="expression" dxfId="49" priority="93">
      <formula>TRUE</formula>
    </cfRule>
    <cfRule type="expression" dxfId="48" priority="92" stopIfTrue="1">
      <formula>$D75</formula>
    </cfRule>
  </conditionalFormatting>
  <conditionalFormatting sqref="D98:D104">
    <cfRule type="expression" dxfId="47" priority="85">
      <formula>TRUE</formula>
    </cfRule>
    <cfRule type="expression" dxfId="46" priority="84" stopIfTrue="1">
      <formula>$D98</formula>
    </cfRule>
  </conditionalFormatting>
  <conditionalFormatting sqref="D108:D114">
    <cfRule type="expression" dxfId="45" priority="82" stopIfTrue="1">
      <formula>$D108</formula>
    </cfRule>
    <cfRule type="expression" dxfId="44" priority="83">
      <formula>TRUE</formula>
    </cfRule>
  </conditionalFormatting>
  <conditionalFormatting sqref="D128:D135">
    <cfRule type="expression" dxfId="43" priority="79">
      <formula>TRUE</formula>
    </cfRule>
    <cfRule type="expression" dxfId="42" priority="78" stopIfTrue="1">
      <formula>$D128</formula>
    </cfRule>
  </conditionalFormatting>
  <conditionalFormatting sqref="D139:D146">
    <cfRule type="expression" dxfId="41" priority="77">
      <formula>TRUE</formula>
    </cfRule>
    <cfRule type="expression" dxfId="40" priority="76" stopIfTrue="1">
      <formula>$D139</formula>
    </cfRule>
  </conditionalFormatting>
  <conditionalFormatting sqref="D164:D169">
    <cfRule type="expression" dxfId="39" priority="71">
      <formula>TRUE</formula>
    </cfRule>
    <cfRule type="expression" dxfId="38" priority="70" stopIfTrue="1">
      <formula>$D164</formula>
    </cfRule>
  </conditionalFormatting>
  <conditionalFormatting sqref="D173:D176">
    <cfRule type="expression" dxfId="37" priority="69">
      <formula>TRUE</formula>
    </cfRule>
    <cfRule type="expression" dxfId="36" priority="68" stopIfTrue="1">
      <formula>$D173</formula>
    </cfRule>
  </conditionalFormatting>
  <conditionalFormatting sqref="D180:D183">
    <cfRule type="expression" dxfId="35" priority="65">
      <formula>TRUE</formula>
    </cfRule>
    <cfRule type="expression" dxfId="34" priority="64" stopIfTrue="1">
      <formula>$D180</formula>
    </cfRule>
  </conditionalFormatting>
  <conditionalFormatting sqref="D187:D191">
    <cfRule type="expression" dxfId="33" priority="63">
      <formula>TRUE</formula>
    </cfRule>
    <cfRule type="expression" dxfId="32" priority="62" stopIfTrue="1">
      <formula>$D187</formula>
    </cfRule>
  </conditionalFormatting>
  <conditionalFormatting sqref="D195:D202">
    <cfRule type="expression" dxfId="31" priority="61">
      <formula>TRUE</formula>
    </cfRule>
    <cfRule type="expression" dxfId="30" priority="60" stopIfTrue="1">
      <formula>$D195</formula>
    </cfRule>
  </conditionalFormatting>
  <conditionalFormatting sqref="D206:D211">
    <cfRule type="expression" dxfId="29" priority="56" stopIfTrue="1">
      <formula>$D206</formula>
    </cfRule>
    <cfRule type="expression" dxfId="28" priority="57">
      <formula>TRUE</formula>
    </cfRule>
  </conditionalFormatting>
  <conditionalFormatting sqref="D215:D221">
    <cfRule type="expression" dxfId="27" priority="55">
      <formula>TRUE</formula>
    </cfRule>
    <cfRule type="expression" dxfId="26" priority="54" stopIfTrue="1">
      <formula>$D215</formula>
    </cfRule>
  </conditionalFormatting>
  <conditionalFormatting sqref="D225:D233">
    <cfRule type="expression" dxfId="25" priority="51">
      <formula>TRUE</formula>
    </cfRule>
    <cfRule type="expression" dxfId="24" priority="50" stopIfTrue="1">
      <formula>$D225</formula>
    </cfRule>
  </conditionalFormatting>
  <conditionalFormatting sqref="D237:D247">
    <cfRule type="expression" dxfId="23" priority="49">
      <formula>TRUE</formula>
    </cfRule>
    <cfRule type="expression" dxfId="22" priority="48" stopIfTrue="1">
      <formula>$D237</formula>
    </cfRule>
  </conditionalFormatting>
  <conditionalFormatting sqref="D251:D261">
    <cfRule type="expression" dxfId="21" priority="47">
      <formula>TRUE</formula>
    </cfRule>
    <cfRule type="expression" dxfId="20" priority="46" stopIfTrue="1">
      <formula>$D251</formula>
    </cfRule>
  </conditionalFormatting>
  <conditionalFormatting sqref="D293:D301">
    <cfRule type="expression" dxfId="19" priority="41">
      <formula>TRUE</formula>
    </cfRule>
    <cfRule type="expression" dxfId="18" priority="40" stopIfTrue="1">
      <formula>$D293</formula>
    </cfRule>
  </conditionalFormatting>
  <conditionalFormatting sqref="D305:D313">
    <cfRule type="expression" dxfId="17" priority="39">
      <formula>TRUE</formula>
    </cfRule>
    <cfRule type="expression" dxfId="16" priority="38" stopIfTrue="1">
      <formula>$D305</formula>
    </cfRule>
  </conditionalFormatting>
  <conditionalFormatting sqref="D328:D341">
    <cfRule type="expression" dxfId="15" priority="37">
      <formula>TRUE</formula>
    </cfRule>
    <cfRule type="expression" dxfId="14" priority="36" stopIfTrue="1">
      <formula>$D328</formula>
    </cfRule>
  </conditionalFormatting>
  <conditionalFormatting sqref="D345:D348">
    <cfRule type="expression" dxfId="13" priority="32">
      <formula>TRUE</formula>
    </cfRule>
    <cfRule type="expression" dxfId="12" priority="31" stopIfTrue="1">
      <formula>$D345</formula>
    </cfRule>
  </conditionalFormatting>
  <conditionalFormatting sqref="D352:D356">
    <cfRule type="expression" dxfId="11" priority="30">
      <formula>TRUE</formula>
    </cfRule>
    <cfRule type="expression" dxfId="10" priority="29" stopIfTrue="1">
      <formula>$D352</formula>
    </cfRule>
  </conditionalFormatting>
  <conditionalFormatting sqref="D360:D365">
    <cfRule type="expression" dxfId="9" priority="28">
      <formula>TRUE</formula>
    </cfRule>
    <cfRule type="expression" dxfId="8" priority="27" stopIfTrue="1">
      <formula>$D360</formula>
    </cfRule>
  </conditionalFormatting>
  <conditionalFormatting sqref="D369:D374">
    <cfRule type="expression" dxfId="7" priority="23" stopIfTrue="1">
      <formula>$D369</formula>
    </cfRule>
    <cfRule type="expression" dxfId="6" priority="24">
      <formula>TRUE</formula>
    </cfRule>
  </conditionalFormatting>
  <conditionalFormatting sqref="D395:D402">
    <cfRule type="expression" dxfId="5" priority="16">
      <formula>TRUE</formula>
    </cfRule>
    <cfRule type="expression" dxfId="4" priority="15" stopIfTrue="1">
      <formula>$D395</formula>
    </cfRule>
  </conditionalFormatting>
  <conditionalFormatting sqref="D412:D414">
    <cfRule type="expression" dxfId="3" priority="12">
      <formula>TRUE</formula>
    </cfRule>
    <cfRule type="expression" dxfId="2" priority="11" stopIfTrue="1">
      <formula>$D412</formula>
    </cfRule>
  </conditionalFormatting>
  <conditionalFormatting sqref="D418:D425">
    <cfRule type="expression" dxfId="1" priority="9" stopIfTrue="1">
      <formula>$D418</formula>
    </cfRule>
    <cfRule type="expression" dxfId="0" priority="10">
      <formula>TRUE</formula>
    </cfRule>
  </conditionalFormatting>
  <pageMargins left="0.7" right="0.7" top="0.75" bottom="0.75" header="0.3" footer="0.3"/>
  <pageSetup orientation="portrait" r:id="rId1"/>
  <tableParts count="4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3ED6-47F3-4746-899F-93FB5B61B000}">
  <dimension ref="A1:B14"/>
  <sheetViews>
    <sheetView zoomScale="175" zoomScaleNormal="175" workbookViewId="0">
      <selection activeCell="C19" sqref="C19"/>
    </sheetView>
  </sheetViews>
  <sheetFormatPr defaultRowHeight="14.5"/>
  <cols>
    <col min="1" max="1" width="14" bestFit="1" customWidth="1"/>
    <col min="2" max="2" width="10.1796875" bestFit="1" customWidth="1"/>
  </cols>
  <sheetData>
    <row r="1" spans="1:2">
      <c r="A1" s="4" t="s">
        <v>447</v>
      </c>
    </row>
    <row r="2" spans="1:2" ht="22.5" customHeight="1">
      <c r="A2" s="4"/>
    </row>
    <row r="3" spans="1:2">
      <c r="A3" t="s">
        <v>445</v>
      </c>
    </row>
    <row r="4" spans="1:2">
      <c r="A4" t="s">
        <v>446</v>
      </c>
    </row>
    <row r="5" spans="1:2">
      <c r="A5" t="s">
        <v>448</v>
      </c>
    </row>
    <row r="6" spans="1:2">
      <c r="A6" s="11"/>
    </row>
    <row r="7" spans="1:2">
      <c r="A7" t="s">
        <v>441</v>
      </c>
      <c r="B7" s="14">
        <v>5.7905521136680698E-3</v>
      </c>
    </row>
    <row r="8" spans="1:2">
      <c r="A8" t="s">
        <v>440</v>
      </c>
      <c r="B8" s="14">
        <v>-5.3705137962931797E-2</v>
      </c>
    </row>
    <row r="9" spans="1:2">
      <c r="A9" t="s">
        <v>439</v>
      </c>
      <c r="B9" s="14">
        <v>-11.917287699337001</v>
      </c>
    </row>
    <row r="10" spans="1:2">
      <c r="A10" t="s">
        <v>442</v>
      </c>
      <c r="B10" s="14">
        <f>B7 / -B8</f>
        <v>0.10782119427129687</v>
      </c>
    </row>
    <row r="11" spans="1:2">
      <c r="A11" t="s">
        <v>443</v>
      </c>
      <c r="B11" s="15">
        <f>B9 / -B8</f>
        <v>-221.90218946206815</v>
      </c>
    </row>
    <row r="13" spans="1:2">
      <c r="B13">
        <v>0.10782119427129699</v>
      </c>
    </row>
    <row r="14" spans="1:2">
      <c r="B14">
        <v>-221.90218946206801</v>
      </c>
    </row>
  </sheetData>
  <phoneticPr fontId="1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CD16-D796-479E-9FC7-99BBA63B435C}">
  <dimension ref="A1:A2"/>
  <sheetViews>
    <sheetView workbookViewId="0">
      <selection activeCell="D46" sqref="D46"/>
    </sheetView>
  </sheetViews>
  <sheetFormatPr defaultRowHeight="14.5"/>
  <sheetData>
    <row r="1" spans="1:1">
      <c r="A1" s="2" t="s">
        <v>444</v>
      </c>
    </row>
    <row r="2" spans="1:1">
      <c r="A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1F7BB-C380-482D-90F7-8A14B24EE993}">
  <dimension ref="A1:F8"/>
  <sheetViews>
    <sheetView zoomScale="160" zoomScaleNormal="160" workbookViewId="0">
      <selection activeCell="D13" sqref="D13"/>
    </sheetView>
  </sheetViews>
  <sheetFormatPr defaultRowHeight="14.5"/>
  <cols>
    <col min="1" max="1" width="42.08984375" bestFit="1" customWidth="1"/>
    <col min="2" max="2" width="18.7265625" bestFit="1" customWidth="1"/>
    <col min="5" max="5" width="42.08984375" bestFit="1" customWidth="1"/>
    <col min="6" max="6" width="10.08984375" bestFit="1" customWidth="1"/>
  </cols>
  <sheetData>
    <row r="1" spans="1:6" ht="15" thickBot="1">
      <c r="A1" t="s">
        <v>457</v>
      </c>
      <c r="B1" t="s">
        <v>456</v>
      </c>
      <c r="E1" s="16" t="s">
        <v>458</v>
      </c>
      <c r="F1" s="16"/>
    </row>
    <row r="2" spans="1:6">
      <c r="A2" t="s">
        <v>449</v>
      </c>
      <c r="B2">
        <v>349</v>
      </c>
      <c r="E2" s="17" t="s">
        <v>461</v>
      </c>
      <c r="F2" s="17"/>
    </row>
    <row r="3" spans="1:6" ht="15" thickBot="1">
      <c r="A3" t="s">
        <v>450</v>
      </c>
      <c r="B3">
        <v>329</v>
      </c>
    </row>
    <row r="4" spans="1:6" ht="15" thickBot="1">
      <c r="A4" t="s">
        <v>451</v>
      </c>
      <c r="B4">
        <v>249</v>
      </c>
      <c r="E4" s="16" t="s">
        <v>459</v>
      </c>
      <c r="F4" s="16" t="s">
        <v>460</v>
      </c>
    </row>
    <row r="5" spans="1:6">
      <c r="A5" t="s">
        <v>452</v>
      </c>
      <c r="B5">
        <v>129</v>
      </c>
      <c r="E5" t="str" cm="1">
        <f t="array" ref="E5:F6">_xlfn.LET(
    _xlpm.data, Data[],
    _xlpm.all_names, Data[name],
    _xlpm.search_terms, _xlfn.TEXTSPLIT(E2, " "),
    _xlpm.scores, _xlfn.MAP(_xlpm.all_names, _xlfn.LAMBDA(_xlpm.name, SUM(--ISNUMBER(SEARCH(_xlpm.search_terms, _xlpm.name))))),
    _xlpm.max_score, MAX(_xlpm.scores),
    IF(_xlpm.max_score = 0, "None", _xlfn._xlws.FILTER(_xlpm.data, _xlpm.scores = MAX(_xlpm.scores)))
)</f>
        <v>Sony WH-1000XM5 Wireless Noise Canceling</v>
      </c>
      <c r="F5">
        <v>349</v>
      </c>
    </row>
    <row r="6" spans="1:6">
      <c r="A6" t="s">
        <v>453</v>
      </c>
      <c r="B6">
        <v>179</v>
      </c>
      <c r="E6" t="str">
        <v>Sony WF-1000XM5 Wireless Earbuds</v>
      </c>
      <c r="F6">
        <v>299</v>
      </c>
    </row>
    <row r="7" spans="1:6">
      <c r="A7" t="s">
        <v>454</v>
      </c>
      <c r="B7">
        <v>99</v>
      </c>
    </row>
    <row r="8" spans="1:6">
      <c r="A8" t="s">
        <v>455</v>
      </c>
      <c r="B8">
        <v>299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BcAG4AXABuAFwAbgAiAH0ALAB7ACIAcABhAHQAaAAiADoAIgAvAHAAcgBvAGoAZQBjAHQAcwAvAHQAZQBzAHQAXwBCAGkAZwBJAG4AdAAiACwAIgB0AGUAeAB0ACIAOgAiAC8ALwAvAC8ALwAvAC8ALwAvAC8ALwAvAC8ALwAvAC8ALwAvAC8ALwAvAC8ALwAvAC8ALwAvAC8ALwAvAC8ALwAvAC8ALwAvAFwAbgAvAC8AIABCAGkAZwAgAEkAbgB0AGUAZwBlAHIAIABBAHIAaQB0AGgAbQBlAHQAaQBjACAATABpAGIAcgBhAHIAeQAgAC8ALwBcAG4ALwAvACAAIAAgACAAIAAgACAAdABlAHMAdABfAEIAaQBnAEkAbgB0ACAATQBvAGQAdQBsAGUAIAAgACAAIAAgACAAIAAvAC8AXABuAC8ALwAgACAAIAAgACAAIAAgAFAAcgBpAHYAYQB0AGUAIABUAGUAcwB0AGkAbgBnACAAQQBQAEkAIAAgACAAIAAgACAALwAvAFwAbgAvAC8ALwAvAC8ALwAvAC8ALwAvAC8ALwAvAC8ALwAvAC8ALwAvAC8ALwAvAC8ALwAvAC8ALwAvAC8ALwAvAC8ALwAvAC8ALwBcAG4AXABuAEsAbgB1AHQAaABEAGkAdgBpAHMAaQBvAG4APQBMAEEATQBCAEQAQQAoAGEALAAgAGIALABcAG4AIAAgACAAIABMAEUAVAAoAFwAbgAgACAAIAAgACAAIAAgACAAawAsACAAYwBvAHIAZQBfAEIAaQBnAEkAbgB0AC4AUwBhAGYAZQBLACgAXAAiAEQASQBWAFwAIgApACwAXABuACAAIAAgACAAIAAgACAAIABwAGEAYwBrAGUAZAAsACAAYwBvAHIAZQBfAEIAaQBnAEkAbgB0AC4ASwBuAHUAdABoAEQAaQB2ACgAYwBvAHIAZQBfAEIAaQBnAEkAbgB0AC4AUwBwAGwAaQB0ACgAYQAsACAAawApACwAIABjAG8AcgBlAF8AQgBpAGcASQBuAHQALgBTAHAAbABpAHQAKABiACwAIABrACkALAAgAGsAKQAsAFwAbgBcAG4AIAAgACAAIAAgACAAIAAgAGMAbwByAGUAXwBCAGkAZwBJAG4AdAAuAE0AZQByAGcAZQAoAEQAUgBPAFAAKABwAGEAYwBrAGUAZAAsACAASQBOAEQARQBYACgAcABhAGMAawBlAGQALAAgADEALAAgADEAKQAgACsAIAAxACkALAAgAGsAKQBcAG4AIAAgACAAIAApAFwAbgApADsAXABuAFwAbgBOAGUAdwB0AG8AbgBSAGEAcABoAHMAbwBuAEQAaQB2AGkAcwBpAG8AbgAgAD0AIABMAEEATQBCAEQAQQAoAGEALAAgAGIALABcAG4AIAAgACAAIABMAEUAVAAoAFwAbgAgACAAIAAgACAAIAAgACAAawAsACAAYwBvAHIAZQBfAEIAaQBnAEkAbgB0AC4AUwBhAGYAZQBLACgAXAAiAEQASQBWAFwAIgApACwAXABuACAAIAAgACAAIAAgACAAIABwAGEAYwBrAGUAZAAsACAAYwBvAHIAZQBfAEIAaQBnAEkAbgB0AC4ATgBlAHcAdABvAG4AUgBhAHAAaABzAG8AbgBEAGkAdgAoAGMAbwByAGUAXwBCAGkAZwBJAG4AdAAuAFMAcABsAGkAdAAoAGEALAAgAGsAKQAsACAAYwBvAHIAZQBfAEIAaQBnAEkAbgB0AC4AUwBwAGwAaQB0ACgAYgAsACAAawApACwAIABrACkALABcAG4AXABuACAAIAAgACAAIAAgACAAIABjAG8AcgBlAF8AQgBpAGcASQBuAHQALgBNAGUAcgBnAGUAKABEAFIATwBQACgAcABhAGMAawBlAGQALAAgAEkATgBEAEUAWAAoAHAAYQBjAGsAZQBkACwAIAAxACwAIAAxACkAIAArACAAMQApACwAIABrACkAXABuACAAIAAgACAAKQBcAG4AKQA7AFwAbgBcAG4ALwAqACoAXABuACAAKgAgAEAAcABhAHIAYQBtACAAYQAgAFQAaABlACAAZABpAHYAaQBkAGUAbgBkACAAcwB0AHIAaQBuAGcAXABuACAAKgAgAEAAcABhAHIAYQBtACAAYgAgAFQAaABlACAAZABpAHYAaQBzAG8AcgAgAHMAdAByAGkAbgBnAFwAbgAgACoAIABAAHAAYQByAGEAbQAgAG0AbwBkAGUAIABcACIASwBOAFUAVABIAFwAIgAgAG8AcgAgAFwAIgBOAFIAXAAiAFwAbgAgACoAIABAAHAAYQByAGEAbQAgAGkAdABlAHIAcwAgAEkAbgBuAGUAcgAgAGwAbwBvAHAAIABjAG8AdQBuAHQAIAAoAHQAbwAgAGQAZQBmAGUAYQB0ACAAYwBoAHUAbgBrAHkAIABjAGwAbwBjAGsAIAByAGUAcwBvAGwAdQB0AGkAbwBuACkAXABuACAAKgAgAEAAcABhAHIAYQBtACAAcgBlAHAAZQBhAHQAcwAgAE8AdQB0AGUAcgAgAGwAbwBvAHAAIABjAG8AdQBuAHQAIAAoAHQAbwAgAGQAZQBmAGUAYQB0ACAATwBTAC8ARwBhAHIAYgBhAGcAZQAgAEMAbwBsAGwAZQBjAHQAaQBvAG4AIABuAG8AaQBzAGUAKQBcAG4AIAAqAC8AXABuAEQAaQB2AGkAcwBpAG8AbgBBAGwAZwBvAHIAaQB0AGgAbQBzACAAPQAgAEwAQQBNAEIARABBACgAYQAsACAAYgAsACAAbQBvAGQAZQAsACAAaQB0AGUAcgBzACwAIAByAGUAcABlAGEAdABzACwAXABuACAAIAAgACAATABFAFQAKABcAG4AIAAgACAAIAAgACAAIAAgAC8ALwAgAE0AYQBwACAAdABoAGUAIABvAHUAdABlAHIAIAByAGUAcABlAGEAdABzACAAbABvAG8AcABcAG4AIAAgACAAIAAgACAAIAAgAGIAYQB0AGMAaABfAHQAaQBtAGUAcwAsACAATQBBAFAAKABTAEUAUQBVAEUATgBDAEUAKAByAGUAcABlAGEAdABzACkALAAgAEwAQQBNAEIARABBACgAcgAsAFwAbgAgACAAIAAgACAAIAAgACAAIAAgACAAIABMAEUAVAAoAFwAbgAgACAAIAAgACAAIAAgACAAIAAgACAAIAAgACAAIAAgAHMAdABhAHIAdAAsACAATgBPAFcAKAApACwAXABuACAAIAAgACAAIAAgACAAIAAgACAAIAAgACAAIAAgACAAXABuACAAIAAgACAAIAAgACAAIAAgACAAIAAgACAAIAAgACAALwAvACAATQBhAHAAIAB0AGgAZQAgAGkAbgBuAGUAcgAgAGUAeABlAGMAdQB0AGkAbwBuACAAbABvAG8AcABcAG4AIAAgACAAIAAgACAAIAAgACAAIAAgACAAIAAgACAAIAByAHUAbgAsACAASQBGACgAbQBvAGQAZQAgAD0AIABcACIASwBOAFUAVABIAFwAIgAsACAAXABuACAAIAAgACAAIAAgACAAIAAgACAAIAAgACAAIAAgACAAIAAgACAAIAAgACAAIAAgAE0AQQBQACgAUwBFAFEAVQBFAE4AQwBFACgAaQB0AGUAcgBzACkALAAgAEwAQQBNAEIARABBACgAaQAsACAASwBuAHUAdABoAEQAaQB2AGkAcwBpAG8AbgAoAGEALAAgAGIAKQApACkALABcAG4AIAAgACAAIAAgACAAIAAgACAAIAAgACAAIAAgACAAIAAgACAAIAAgACAAIAAgACAATQBBAFAAKABTAEUAUQBVAEUATgBDAEUAKABpAHQAZQByAHMAKQAsACAATABBAE0AQgBEAEEAKABpACwAIABOAGUAdwB0AG8AbgBSAGEAcABoAHMAbwBuAEQAaQB2AGkAcwBpAG8AbgAoAGEALAAgAGIAKQApACkAXABuACAAIAAgACAAIAAgACAAIAAgACAAIAAgACAAIAAgACAAKQAsAFwAbgAgACAAIAAgACAAIAAgACAAIAAgACAAIAAgACAAIAAgAFwAbgAgACAAIAAgACAAIAAgACAAIAAgACAAIAAgACAAIAAgAC8ALwAgAEYAbwByAGMAZQAgAGUAdgBhAGwAdQBhAHQAaQBvAG4AIABiAGUAZgBvAHIAZQAgAHAAdQBsAGwAaQBuAGcAIABzAHQAbwBwACAAdABpAG0AZQBcAG4AIAAgACAAIAAgACAAIAAgACAAIAAgACAAIAAgACAAIABzAHQAbwBwACwAIABOAE8AVwAoACkAIAArACAAKAAwACAAKgAgAEwARQBOACgASQBOAEQARQBYACgAcgB1AG4ALAAgADEALAAgADEAKQApACkALABcAG4AIAAgACAAIAAgACAAIAAgACAAIAAgACAAIAAgACAAIABcAG4AIAAgACAAIAAgACAAIAAgACAAIAAgACAAIAAgACAAIAAvAC8AIABUAG8AdABhAGwAIABiAGEAdABjAGgAIAB0AGkAbQBlACAAaQBuACAAbQBpAGwAbABpAHMAZQBjAG8AbgBkAHMAXABuACAAIAAgACAAIAAgACAAIAAgACAAIAAgACAAIAAgACAAKABzAHQAbwBwACAALQAgAHMAdABhAHIAdAApACAAKgAgADgANgA0ADAAMAAwADAAMABcAG4AIAAgACAAIAAgACAAIAAgACAAIAAgACAAKQBcAG4AIAAgACAAIAAgACAAIAAgACkAKQAsAFwAbgAgACAAIAAgACAAIAAgACAAXABuACAAIAAgACAAIAAgACAAIAAvAC8AIABFAHgAdAByAGEAYwB0ACAAdABoAGUAIABjAGwAZQBhAG4AZQBzAHQAIAByAHUAbgAgAGEAbgBkACAAYQB2AGUAcgBhAGcAZQAgAGkAdAAgAGQAbwB3AG4AIAB0AG8AIABhACAAcwBpAG4AZwBsAGUAIABlAHgAZQBjAHUAdABpAG8AbgAgAHQAaQBtAGUAXABuACAAIAAgACAAIAAgACAAIABNAEkATgAoAGIAYQB0AGMAaABfAHQAaQBtAGUAcwApACAALwAgAGkAdABlAHIAcwBcAG4AIAAgACAAIAApAFwAbgApADsAXABuAFwAbgAvACoAKgBcAG4AIAAqACAARQB4AGUAYwB1AHQAZQBzACAAYQAgAHMAdAByAGkAYwB0AGwAeQAgAHMAZQBxAHUAZQBuAHQAaQBhAGwAIABiAGUAbgBjAGgAbQBhAHIAawAgAHMAdQBpAHQAZQAgAHQAbwAgAGEAdgBvAGkAZAAgAG0AdQBsAHQAaQAtAHQAaAByAGUAYQBkAGkAbgBnACAAYwBvAG4AdABhAG0AaQBuAGEAdABpAG8AbgAuAFwAbgAgACoAIABAAHAAYQByAGEAbQAgAHQAZQBzAHQAXwBjAGEAcwBlAHMAIABBAG4AIABOACAAeAAgADIAIABhAHIAcgBhAHkAIABvAGYAIAB0AGUAcwB0ACAAbABlAG4AZwB0AGgAcwA6ACAAWwBMAGUAbgBnAHQAaABfAEEALAAgAEwAZQBuAGcAdABoAF8AQgBdAFwAbgAgACoAIABAAHAAYQByAGEAbQAgAGkAdABlAHIAcwAgAE4AdQBtAGIAZQByACAAbwBmACAAaQB0AGUAcgBhAHQAaQBvAG4AcwAgAHAAZQByACAAYgBlAG4AYwBoAG0AYQByAGsAIAB0AG8AIABzAG0AbwBvAHQAaAAgAE4ATwBXACgAKQAgAHIAZQBzAG8AbAB1AHQAaQBvAG4ALgBcAG4AIAAqAC8AXABuAEQAaQB2AGkAcwBpAG8AbgBBAGwAZwBvAHIAaQB0AGgAbQBDAG8AbQBwAGEAcgBpAHMAbwBuACAAPQAgAEwAQQBNAEIARABBACgAdABlAHMAdABfAGMAYQBzAGUAcwAsACAAaQB0AGUAcgBzACwAIAByAGUAcABlAGEAdABzACwAXABuACAAIAAgACAATABFAFQAKABcAG4AIAAgACAAIAAgACAAIAAgAG4AXwB0AGUAcwB0AHMALAAgAFIATwBXAFMAKAB0AGUAcwB0AF8AYwBhAHMAZQBzACkALABcAG4AIAAgACAAIAAgACAAIAAgAFwAbgAgACAAIAAgACAAIAAgACAALwAvACAASQBuAGkAdABpAGEAbAAgAHMAdABhAHQAZQA6ACAARABhAHQAYQAgAGgAZQBhAGQAZQByAHMAIABmAG8AcgAgAEMAUwBWACAAZQB4AHAAbwByAHQAXABuACAAIAAgACAAIAAgACAAIABpAG4AaQB0AGkAYQBsACwAIAB7AFwAIgBMAGUAbgBfAEEAXAAiACwAIABcACIATABlAG4AXwBCAFwAIgAsACAAXAAiAEsAbgB1AHQAaABfAG0AcwBcACIALAAgAFwAIgBOAFIAXwBtAHMAXAAiAH0ALABcAG4AIAAgACAAIAAgACAAIAAgAFwAbgAgACAAIAAgACAAIAAgACAAUgBFAEQAVQBDAEUAKABpAG4AaQB0AGkAYQBsACwAIABTAEUAUQBVAEUATgBDAEUAKABuAF8AdABlAHMAdABzACkALAAgAEwAQQBNAEIARABBACgAYQBjAGMALAAgAGkALABcAG4AIAAgACAAIAAgACAAIAAgACAAIAAgACAATABFAFQAKABcAG4AIAAgACAAIAAgACAAIAAgACAAIAAgACAAIAAgACAAIABsAGUAbgBfAGEALAAgAEkATgBEAEUAWAAoAHQAZQBzAHQAXwBjAGEAcwBlAHMALAAgAGkALAAgADEAKQAsAFwAbgAgACAAIAAgACAAIAAgACAAIAAgACAAIAAgACAAIAAgAGwAZQBuAF8AYgAsACAASQBOAEQARQBYACgAdABlAHMAdABfAGMAYQBzAGUAcwAsACAAaQAsACAAMgApACwAXABuACAAIAAgACAAIAAgACAAIAAgACAAIAAgACAAIAAgACAAXABuACAAIAAgACAAIAAgACAAIAAgACAAIAAgACAAIAAgACAALwAvACAAUwBrAGkAcAAgAEQAaQB2AGkAcwBvAHIAIAA+ACAARABpAHYAaQBkAGUAbgBkABQgaQB0ACcAcwAgAG4AZQB2AGUAcgAgAGEAbgAgAGkAbgB0AGUAZwBlAHIAXABuACAAIAAgACAAIAAgACAAIAAgACAAIAAgACAAIAAgACAASQBGACgAbABlAG4AXwBiACAAPgAgAGwAZQBuAF8AYQAsACAAXABuACAAIAAgACAAIAAgACAAIAAgACAAIAAgACAAIAAgACAAIAAgACAAIABhAGMAYwAsAFwAbgAgACAAIAAgACAAIAAgACAAIAAgACAAIAAgACAAIAAgACAAIAAgACAATABFAFQAKABcAG4AIAAgACAAIAAgACAAIAAgACAAIAAgACAAIAAgACAAIAAgACAAIAAgACAAIAAgACAALwAvACAARwBlAG4AZQByAGEAdABlACAAZQB4AGEAYwB0AC0AbABlAG4AZwB0AGgAIAB0AGUAcwB0ACAAcwB0AHIAaQBuAGcAcwAgAG4AYQB0AGkAdgBlAGwAeQBcAG4AIAAgACAAIAAgACAAIAAgACAAIAAgACAAIAAgACAAIAAgACAAIAAgACAAIAAgACAAcwB0AHIAXwBhACwAIABSAEUAUABUACgAXAAiADkAXAAiACwAIABsAGUAbgBfAGEAKQAsAFwAbgAgACAAIAAgACAAIAAgACAAIAAgACAAIAAgACAAIAAgACAAIAAgACAAIAAgACAAIABzAHQAcgBfAGIALAAgAEkARgAoAGwAZQBuAF8AYgAgAD0AIAAxACwAIABcACIANwBcACIALAAgAFwAIgA3AFwAIgAgACYAIABSAEUAUABUACgAXAAiADMAXAAiACwAIABsAGUAbgBfAGIAIAAtACAAMQApACkALABcAG4AIAAgACAAIAAgACAAIAAgACAAIAAgACAAIAAgACAAIAAgACAAIAAgACAAIAAgACAAXABuACAAIAAgACAAIAAgACAAIAAgACAAIAAgACAAIAAgACAAIAAgACAAIAAgACAAIAAgAC8ALwAgAEUAeABlAGMAdQB0AGUAIABiAGUAbgBjAGgAbQBhAHIAawBzACAAcwB0AHIAaQBjAHQAbAB5ACAAbwBuAGUAIABhAGYAdABlAHIAIAB0AGgAZQAgAG8AdABoAGUAcgBcAG4AIAAgACAAIAAgACAAIAAgACAAIAAgACAAIAAgACAAIAAgACAAIAAgACAAIAAgACAAdABpAG0AZQBfAGsALAAgAEQAaQB2AGkAcwBpAG8AbgBBAGwAZwBvAHIAaQB0AGgAbQBzACgAcwB0AHIAXwBhACwAIABzAHQAcgBfAGIALAAgAFwAIgBLAE4AVQBUAEgAXAAiACwAIABpAHQAZQByAHMALAAgAHIAZQBwAGUAYQB0AHMAKQAsAFwAbgAgACAAIAAgACAAIAAgACAAIAAgACAAIAAgACAAIAAgACAAIAAgACAAIAAgACAAIAB0AGkAbQBlAF8AbgByACwAIABEAGkAdgBpAHMAaQBvAG4AQQBsAGcAbwByAGkAdABoAG0AcwAoAHMAdAByAF8AYQAsACAAcwB0AHIAXwBiACwAIABcACIATgBSAFwAIgAsACAAaQB0AGUAcgBzACwAIAByAGUAcABlAGEAdABzACkALABcAG4AIAAgACAAIAAgACAAIAAgACAAIAAgACAAIAAgACAAIAAgACAAIAAgACAAIAAgACAAXABuACAAIAAgACAAIAAgACAAIAAgACAAIAAgACAAIAAgACAAIAAgACAAIAAgACAAIAAgAC8ALwAgAEEAcABwAGUAbgBkACAAdABoAGUAIAByAGUAcwB1AGwAdABzAC4AIABcAG4AIAAgACAAIAAgACAAIAAgACAAIAAgACAAIAAgACAAIAAgACAAIAAgACAAIAAgACAALwAvACAAUgBlAGEAbABsAG8AYwBhAHQAaQBvAG4AIABkAGUAbABhAHkAIABvAGMAYwB1AHIAcwAgAGgAZQByAGUALAAgAHMAYQBmAGUAbAB5ACAAbwB1AHQAcwBpAGQAZQAgAHQAaABlACAAdABpAG0AZQBkACAAdwBpAG4AZABvAHcALgBcAG4AIAAgACAAIAAgACAAIAAgACAAIAAgACAAIAAgACAAIAAgACAAIAAgACAAIAAgACAAVgBTAFQAQQBDAEsAKABhAGMAYwAsACAASABTAFQAQQBDAEsAKABsAGUAbgBfAGEALAAgAGwAZQBuAF8AYgAsACAAdABpAG0AZQBfAGsALAAgAHQAaQBtAGUAXwBuAHIAKQApAFwAbgAgACAAIAAgACAAIAAgACAAIAAgACAAIAAgACAAIAAgACAAIAAgACAAKQBcAG4AIAAgACAAIAAgACAAIAAgACAAIAAgACAAIAAgACAAIAApAFwAbgAgACAAIAAgACAAIAAgACAAIAAgACAAIAApAFwAbgAgACAAIAAgACAAIAAgACAAKQApAFwAbgAgACAAIAAgACkAXABuACkAOwBcAG4AXABuAC8ALwAgAEcAZQBuAGUAcgBhAHQAZQBzACAAYQAgADIALQBjAG8AbAB1AG0AbgAgAGEAcgByAGEAeQAgAG8AZgAgAGUAdgBlAHIAeQAgAGMAbwBtAGIAaQBuAGEAdABpAG8AbgAgAG8AZgAgAGwAZQBuAGcAdABoAHMAXABuAEQAaQB2AGkAcwBpAG8AbgBCAGUAbgBjAGgAbQBhAHIAawBDAGEAcwBlAHMAIAA9ACAATABBAE0AQgBEAEEAKABzAHQAYQByAHQAXwBsAGUAbgAsACAAbQBhAHgAXwBsAGUAbgAsACAAcwB0AGUAcAAsAFwAbgAgACAAIAAgAEwARQBUACgAXABuACAAIAAgACAAIAAgACAAIABzAGUAcQAsACAAUwBFAFEAVQBFAE4AQwBFACgAKABtAGEAeABfAGwAZQBuACAALQAgAHMAdABhAHIAdABfAGwAZQBuACkAIAAvACAAcwB0AGUAcAAgACsAIAAxACwAIAAxACwAIABzAHQAYQByAHQAXwBsAGUAbgAsACAAcwB0AGUAcAApACwAXABuACAAIAAgACAAIAAgACAAIABuACwAIABSAE8AVwBTACgAcwBlAHEAKQAsAFwAbgAgACAAIAAgACAAIAAgACAAXABuACAAIAAgACAAIAAgACAAIAAvAC8AIABDAGEAcgB0AGUAcwBpAGEAbgAgAEoAbwBpAG4AXABuACAAIAAgACAAIAAgACAAIABjAG8AbABfAGEALAAgAFQATwBDAE8ATAAoAEkARgAoAFMARQBRAFUARQBOAEMARQAoADEALAAgAG4AKQAsACAAcwBlAHEAKQApACwAXABuACAAIAAgACAAIAAgACAAIABjAG8AbABfAGIALAAgAFQATwBDAE8ATAAoAEkARgAoAFMARQBRAFUARQBOAEMARQAoAG4ALAAgADEAKQAsACAAVABPAFIATwBXACgAcwBlAHEAKQApACkALABcAG4AIAAgACAAIAAgACAAIAAgAFwAbgAgACAAIAAgACAAIAAgACAASABTAFQAQQBDAEsAKABjAG8AbABfAGEALAAgAGMAbwBsAF8AYgApAFwAbgAgACAAIAAgACkAXABuACkAOwBcAG4AXABuAC8ALwAgAEcAZQBuAGUAcgBhAHQAZQBzACAAYQAgAEMAYQByAHQAZQBzAGkAYQBuACAAZwByAGkAZAAgAGYAcgBvAG0AIAB0AHcAbwAgAGkAbgBkAGUAcABlAG4AZABlAG4AdAAgAHMAZQBxAHUAZQBuAGMAZQBzAFwAbgBBAHMAeQBtAG0AZQB0AHIAaQBjAEEAQgBHAHIAaQBkACAAPQAgAEwAQQBNAEIARABBACgAcwB0AGEAcgB0AF8AYQAsACAAbQBhAHgAXwBhACwAIABzAHQAZQBwAF8AYQAsACAAcwB0AGEAcgB0AF8AYgAsACAAbQBhAHgAXwBiACwAIABzAHQAZQBwAF8AYgAsAFwAbgAgACAAIAAgAEwARQBUACgAXABuACAAIAAgACAAIAAgACAAIABzAGUAcQBfAGEALAAgAFMARQBRAFUARQBOAEMARQAoACgAbQBhAHgAXwBhACAALQAgAHMAdABhAHIAdABfAGEAKQAgAC8AIABzAHQAZQBwAF8AYQAgACsAIAAxACwAIAAxACwAIABzAHQAYQByAHQAXwBhACwAIABzAHQAZQBwAF8AYQApACwAXABuACAAIAAgACAAIAAgACAAIABzAGUAcQBfAGIALAAgAFMARQBRAFUARQBOAEMARQAoACgAbQBhAHgAXwBiACAALQAgAHMAdABhAHIAdABfAGIAKQAgAC8AIABzAHQAZQBwAF8AYgAgACsAIAAxACwAIAAxACwAIABzAHQAYQByAHQAXwBiACwAIABzAHQAZQBwAF8AYgApACwAXABuACAAIAAgACAAIAAgACAAIABcAG4AIAAgACAAIAAgACAAIAAgAG4AXwBhACwAIABSAE8AVwBTACgAcwBlAHEAXwBhACkALABcAG4AIAAgACAAIAAgACAAIAAgAG4AXwBiACwAIABSAE8AVwBTACgAcwBlAHEAXwBiACkALABcAG4AIAAgACAAIAAgACAAIAAgAFwAbgAgACAAIAAgACAAIAAgACAALwAvACAATwByAHQAaABvAGcAbwBuAGEAbAAgAGIAcgBvAGEAZABjAGEAcwB0ACAAdQBzAGkAbgBnACAAaQBuAGQAZQBwAGUAbgBkAGUAbgB0ACAAZABpAG0AZQBuAHMAaQBvAG4AcwBcAG4AIAAgACAAIAAgACAAIAAgAGMAbwBsAF8AYQAsACAAVABPAEMATwBMACgASQBGACgAUwBFAFEAVQBFAE4AQwBFACgAMQAsACAAbgBfAGIAKQAsACAAcwBlAHEAXwBhACkAKQAsAFwAbgAgACAAIAAgACAAIAAgACAAYwBvAGwAXwBiACwAIABUAE8AQwBPAEwAKABJAEYAKABTAEUAUQBVAEUATgBDAEUAKABuAF8AYQApACwAIABUAE8AUgBPAFcAKABzAGUAcQBfAGIAKQApACkALABcAG4AIAAgACAAIAAgACAAIAAgAFwAbgAgACAAIAAgACAAIAAgACAASABTAFQAQQBDAEsAKABjAG8AbABfAGEALAAgAGMAbwBsAF8AYgApAFwAbgAgACAAIAAgACkAXABuACkAOwBcAG4AXABuAEYAYQBjAHQAbwByAGkAYQBsAEEAbABnAG8AcgBpAHQAaABtAHMAIAA9ACAATABBAE0AQgBEAEEAKABpAG4AcAB1AHQALAAgAG0AbwBkAGUALAAgAGkAdABlAHIAcwAsACAAcgBlAHAAZQBhAHQAcwAsAFwAbgAgACAAIAAgAEwARQBUACgAXABuACAAIAAgACAAIAAgACAAIAAvAC8AIABNAGEAcAAgAHQAaABlACAAbwB1AHQAZQByACAAcgBlAHAAZQBhAHQAcwAgAGwAbwBvAHAAXABuACAAIAAgACAAIAAgACAAIABiAGEAdABjAGgAXwB0AGkAbQBlAHMALAAgAE0AQQBQACgAUwBFAFEAVQBFAE4AQwBFACgAcgBlAHAAZQBhAHQAcwApACwAIABMAEEATQBCAEQAQQAoAHIALABcAG4AIAAgACAAIAAgACAAIAAgACAAIAAgACAATABFAFQAKABcAG4AIAAgACAAIAAgACAAIAAgACAAIAAgACAAIAAgACAAIABzAHQAYQByAHQALAAgAE4ATwBXACgAKQAsAFwAbgAgACAAIAAgACAAIAAgACAAIAAgACAAIAAgACAAIAAgAFwAbgAgACAAIAAgACAAIAAgACAAIAAgACAAIAAgACAAIAAgAC8ALwAgAE0AYQBwACAAdABoAGUAIABpAG4AbgBlAHIAIABlAHgAZQBjAHUAdABpAG8AbgAgAGwAbwBvAHAAXABuACAAIAAgACAAIAAgACAAIAAgACAAIAAgACAAIAAgACAAcgB1AG4ALAAgAEkARgAoAG0AbwBkAGUAIAA9ACAAXAAiAEwAZQBnAGUAbgBkAHIAZQBcACIALAAgAFwAbgAgACAAIAAgACAAIAAgACAAIAAgACAAIAAgACAAIAAgACAAIAAgACAAIAAgACAAIABNAEEAUAAoAFMARQBRAFUARQBOAEMARQAoAGkAdABlAHIAcwApACwAIABMAEEATQBCAEQAQQAoAGkALAAgAEIAaQBnAEkAbgB0AC4ARgBhAGMAdAAoAGkAbgBwAHUAdAApACkAKQAsAFwAbgAgACAAIAAgACAAIAAgACAAIAAgACAAIAAgACAAIAAgACAAIAAgACAAIAAgACAAIABNAEEAUAAoAFMARQBRAFUARQBOAEMARQAoAGkAdABlAHIAcwApACwAIABMAEEATQBCAEQAQQAoAGkALAAgAEIAaQBnAEkAbgB0AC4ARgBhAGMAdABTAHcAaQBuAGcAKABpAG4AcAB1AHQAKQApACkAXABuACAAIAAgACAAIAAgACAAIAAgACAAIAAgACAAIAAgACAAKQAsAFwAbgAgACAAIAAgACAAIAAgACAAIAAgACAAIAAgACAAIAAgAFwAbgAgACAAIAAgACAAIAAgACAAIAAgACAAIAAgACAAIAAgAC8ALwAgAEYAbwByAGMAZQAgAGUAdgBhAGwAdQBhAHQAaQBvAG4AIABiAGUAZgBvAHIAZQAgAHAAdQBsAGwAaQBuAGcAIABzAHQAbwBwACAAdABpAG0AZQBcAG4AIAAgACAAIAAgACAAIAAgACAAIAAgACAAIAAgACAAIABzAHQAbwBwACwAIABOAE8AVwAoACkAIAArACAAKAAwACAAKgAgAEwARQBOACgASQBOAEQARQBYACgAcgB1AG4ALAAgADEALAAgADEAKQApACkALABcAG4AIAAgACAAIAAgACAAIAAgACAAIAAgACAAIAAgACAAIABcAG4AIAAgACAAIAAgACAAIAAgACAAIAAgACAAIAAgACAAIAAvAC8AIABUAG8AdABhAGwAIABiAGEAdABjAGgAIAB0AGkAbQBlACAAaQBuACAAbQBpAGwAbABpAHMAZQBjAG8AbgBkAHMAXABuACAAIAAgACAAIAAgACAAIAAgACAAIAAgACAAIAAgACAAKABzAHQAbwBwACAALQAgAHMAdABhAHIAdAApACAAKgAgADgANgA0ADAAMAAwADAAMABcAG4AIAAgACAAIAAgACAAIAAgACAAIAAgACAAKQBcAG4AIAAgACAAIAAgACAAIAAgACkAKQAsAFwAbgAgACAAIAAgACAAIAAgACAAXABuACAAIAAgACAAIAAgACAAIAAvAC8AIABFAHgAdAByAGEAYwB0ACAAdABoAGUAIABjAGwAZQBhAG4AZQBzAHQAIAByAHUAbgAgAGEAbgBkACAAYQB2AGUAcgBhAGcAZQAgAGkAdAAgAGQAbwB3AG4AIAB0AG8AIABhACAAcwBpAG4AZwBsAGUAIABlAHgAZQBjAHUAdABpAG8AbgAgAHQAaQBtAGUAXABuACAAIAAgACAAIAAgACAAIABNAEkATgAoAGIAYQB0AGMAaABfAHQAaQBtAGUAcwApACAALwAgAGkAdABlAHIAcwBcAG4AIAAgACAAIAApAFwAbgApADsAXABuAFwAbgAvACoAKgBcAG4AIAAqACAARQB4AGUAYwB1AHQAZQBzACAAYQAgAHMAdAByAGkAYwB0AGwAeQAgAHMAZQBxAHUAZQBuAHQAaQBhAGwAIABiAGUAbgBjAGgAbQBhAHIAawAgAHMAdQBpAHQAZQAgAHQAbwAgAGEAdgBvAGkAZAAgAG0AdQBsAHQAaQAtAHQAaAByAGUAYQBkAGkAbgBnACAAYwBvAG4AdABhAG0AaQBuAGEAdABpAG8AbgAuAFwAbgAgACoAIABAAHAAYQByAGEAbQAgAHQAZQBzAHQAXwBjAGEAcwBlAHMAIABBAG4AIABOACAAeAAgADEAIABhAHIAcgBhAHkAIABvAGYAIAB0AGUAcwB0ACAAaQBuAHAAdQB0AHMAXABuACAAKgAgAEAAcABhAHIAYQBtACAAaQB0AGUAcgBzACAATgB1AG0AYgBlAHIAIABvAGYAIABpAHQAZQByAGEAdABpAG8AbgBzACAAcABlAHIAIABzAGEAbQBwAGwAZQAgAHQAbwAgAHMAbQBvAG8AdABoACAATgBPAFcAKAApACAAcgBlAHMAbwBsAHUAdABpAG8AbgAuAFwAbgAgACoAIABAAHAAYQByAGEAbQAgAHIAZQBwAGUAYQB0AHMAIABOAHUAbQBiAGUAcgAgAG8AZgAgAGkAdABlAHIAYQB0AGkAbwBuAHMAIABwAGUAcgAgAGIAZQBuAGMAaABtAGEAcgBrACAAdABvACAAcwBtAG8AbwB0AGgAIABPAFMAIABhAG4AZAAgAGIAYQBjAGsAZwByAG8AdQBuAGQAIABuAG8AaQBzAGUALgBcAG4AIAAqAC8AXABuAEYAYQBjAHQAbwByAGkAYQBsAEMAbwBtAHAAYQByAGkAcwBvAG4AIAA9ACAATABBAE0AQgBEAEEAKAB0AGUAcwB0AF8AYwBhAHMAZQBzACwAIABpAHQAZQByAHMALAAgAHIAZQBwAGUAYQB0AHMALABcAG4AIAAgACAAIABMAEUAVAAoAFwAbgAgACAAIAAgACAAIAAgACAAbgBfAHQAZQBzAHQAcwAsACAAUgBPAFcAUwAoAHQAZQBzAHQAXwBjAGEAcwBlAHMAKQAsAFwAbgAgACAAIAAgACAAIAAgACAAXABuACAAIAAgACAAIAAgACAAIAAvAC8AIABJAG4AaQB0AGkAYQBsACAAcwB0AGEAdABlADoAIABEAGEAdABhACAAaABlAGEAZABlAHIAcwAgAGYAbwByACAAQwBTAFYAIABlAHgAcABvAHIAdABcAG4AIAAgACAAIAAgACAAIAAgAGkAbgBpAHQAaQBhAGwALAAgAHsAXAAiAE4AXAAiACwAIABcACIATABlAGcAZQBuAGQAcgBlAFwAIgAsACAAXAAiAFMAdwBpAG4AZwBcACIAfQAsAFwAbgAgACAAIAAgACAAIAAgACAAXABuACAAIAAgACAAIAAgACAAIABSAEUARABVAEMARQAoAGkAbgBpAHQAaQBhAGwALAAgAFMARQBRAFUARQBOAEMARQAoAG4AXwB0AGUAcwB0AHMAKQAsACAATABBAE0AQgBEAEEAKABhAGMAYwAsACAAaQAsAFwAbgAgACAAIAAgACAAIAAgACAAIAAgACAAIABMAEUAVAAoAFwAbgAgACAAIAAgACAAIAAgACAAIAAgACAAIAAgACAAIAAgAGkAbgBwAHUAdAAsACAASQBOAEQARQBYACgAdABlAHMAdABfAGMAYQBzAGUAcwAsACAAaQAsACAAMQApACwAXABuACAAIAAgACAAIAAgACAAIAAgACAAIAAgACAAIAAgACAALwAvACAARQB4AGUAYwB1AHQAZQAgAGIAZQBuAGMAaABtAGEAcgBrAHMAIABzAHQAcgBpAGMAdABsAHkAIABvAG4AZQAgAGEAZgB0AGUAcgAgAHQAaABlACAAbwB0AGgAZQByAFwAbgAgACAAIAAgACAAIAAgACAAIAAgACAAIAAgACAAIAAgAHQAaQBtAGUAXwBsAGUAZwBlAG4AZAByAGUALAAgAEYAYQBjAHQAbwByAGkAYQBsAEEAbABnAG8AcgBpAHQAaABtAHMAKABpAG4AcAB1AHQALAAgAFwAIgBMAGUAZwBlAG4AZAByAGUAXAAiACwAIABpAHQAZQByAHMALAAgAHIAZQBwAGUAYQB0AHMAKQAsAFwAbgAgACAAIAAgACAAIAAgACAAIAAgACAAIAAgACAAIAAgAHQAaQBtAGUAXwBzAHcAaQBuAGcALAAgAEYAYQBjAHQAbwByAGkAYQBsAEEAbABnAG8AcgBpAHQAaABtAHMAKABpAG4AcAB1AHQALAAgAFwAIgBTAHcAaQBuAGcAXAAiACwAIABpAHQAZQByAHMALAAgAHIAZQBwAGUAYQB0AHMAKQAsAFwAbgAgACAAIAAgACAAIAAgACAAIAAgACAAIAAgACAAIAAgAFwAbgAgACAAIAAgACAAIAAgACAAIAAgACAAIAAgACAAIAAgAC8ALwAgAEEAcABwAGUAbgBkACAAdABoAGUAIAByAGUAcwB1AGwAdABzAC4AIABcAG4AIAAgACAAIAAgACAAIAAgACAAIAAgACAAIAAgACAAIAAvAC8AIABSAGUAYQBsAGwAbwBjAGEAdABpAG8AbgAgAGQAZQBsAGEAeQAgAG8AYwBjAHUAcgBzACAAaABlAHIAZQAsACAAcwBhAGYAZQBsAHkAIABvAHUAdABzAGkAZABlACAAdABoAGUAIAB0AGkAbQBlAGQAIAB3AGkAbgBkAG8AdwAuAFwAbgAgACAAIAAgACAAIAAgACAAIAAgACAAIAAgACAAIAAgAFYAUwBUAEEAQwBLACgAYQBjAGMALAAgAEgAUwBUAEEAQwBLACgAaQBuAHAAdQB0ACwAIAB0AGkAbQBlAF8AbABlAGcAZQBuAGQAcgBlACwAIAB0AGkAbQBlAF8AcwB3AGkAbgBnACkAKQBcAG4AIAAgACAAIAAgACAAIAAgACAAIAAgACAAKQBcAG4AIAAgACAAIAAgACAAIAAgACkAKQBcAG4AIAAgACAAIAApAFwAbgApADsAIgB9ACwAewAiAHAAYQB0AGgAIgA6ACIALwBwAHIAbwBqAGUAYwB0AHMALwBjAG8AcgBlAF8AQgBpAGcASQBuAHQAIgAsACIAdABlAHgAdAAiADoAIgAvAC8ALwAvAC8ALwAvAC8ALwAvAC8ALwAvAC8ALwAvAC8ALwAvAC8ALwAvAC8ALwAvAC8ALwAvAC8ALwAvAC8ALwAvAC8ALwBcAG4ALwAvACAAQgBpAGcAIABJAG4AdABlAGcAZQByACAAQQByAGkAdABoAG0AZQB0AGkAYwAgAEwAaQBiAHIAYQByAHkAIAAvAC8AXABuAC8ALwAgACAAIAAgACAAIABjAG8AcgBlAF8AQgBpAGcASQBuAHQAIABNAG8AZAB1AGwAZQAgACAAIAAgACAAIAAgACAALwAvAFwAbgAvAC8AIAAgACAAIAAgACAAIAAgACAAIABQAHIAaQB2AGEAdABlACAAQQBQAEkAIAAgACAAIAAgACAAIAAgACAAIAAgAC8ALwBcAG4ALwAvAC8ALwAvAC8ALwAvAC8ALwAvAC8ALwAvAC8ALwAvAC8ALwAvAC8ALwAvAC8ALwAvAC8ALwAvAC8ALwAvAC8ALwAvAC8AXABuAFwAbgAvACoAKgBcAG4AIAAqACAAWwBJAG4AdABlAHIAbgBhAGwAXQAgAEMAbwBtAHAAdQB0AGUAcwAgAHQAaABlACAAbQBhAHgAaQBtAHUAbQAgAHMAYQBmAGUAIABiAGEAcwBlAC0AMQAwACAAbABpAG0AYgAgAHMAaQB6AGUAIAAoAGsAKQAgAHQAbwAgAGEAdgBvAGkAZAAgAEkARQBFAEUALQA3ADUANAAgAHAAcgBlAGMAaQBzAGkAbwBuACAAbABvAHMAcwAuAFwAbgAgACoAIABAAHAAYQByAGEAbQAgAG8AcABlAHIAYQB0AGkAbwBuADoAIABcACIAQQBEAEQAXAAiACwAIABcACIATQBVAEwAXAAiACwAIABvAHIAIABcACIARABJAFYAXAAiAC4AXABuACAAKgAgAEAAcABhAHIAYQBtACAAWwBtAGEAeABfAGkAdABlAG0AcwBdACAAQQBEAEQAOgAgAG4AdQBtAGIAZQByACAAbwBmACAAbwBwAGUAcgBhAG4AZABzAC4AIABNAFUATAA6ACAAcwBoAG8AcgB0AGUAcwB0ACAAcwB0AHIAaQBuAGcAIABkAGkAZwBpAHQAcwAgAGMAbwB1AG4AdAAuAFwAbgAgACoALwBcAG4AUwBhAGYAZQBLACAAPQAgAEwAQQBNAEIARABBACgAbwBwAGUAcgBhAHQAaQBvAG4ALAAgAFsAbwBwAGUAcgBhAG4AZABfAG8AcgBfAGQAaQBnAGkAdABzAF0ALABcAG4AIAAgACAAIABMAEUAVAAoAFwAbgAgACAAIAAgACAAIAAgACAAcgBlAHMAbwBsAHYAZQBkAF8AYwBvAHUAbgB0ACwAIABJAEYAKABPAFIAKABvAHAAZQByAGEAbgBkAF8AbwByAF8AZABpAGcAaQB0AHMAIAA9ACAAXAAiAFwAIgAsACAASQBTAE8ATQBJAFQAVABFAEQAKABvAHAAZQByAGEAbgBkAF8AbwByAF8AZABpAGcAaQB0AHMAKQApACwAIAAyACwAIABNAEEAWAAoADIALAAgAG8AcABlAHIAYQBuAGQAXwBvAHIAXwBkAGkAZwBpAHQAcwApACkALABcAG4AXABuACAAIAAgACAAIAAgACAAIABTAFcASQBUAEMASAAoAG8AcABlAHIAYQB0AGkAbwBuACwAXABuACAAIAAgACAAIAAgACAAIAAgACAAIAAgAFwAIgBBAEQARABcACIALAAgADEANQAgAC0AIABMAEUATgAoAHIAZQBzAG8AbAB2AGUAZABfAGMAbwB1AG4AdAApACwAXABuACAAIAAgACAAIAAgACAAIAAgACAAIAAgAFwAbgAgACAAIAAgACAAIAAgACAAIAAgACAAIABcACIATQBVAEwAXAAiACwAIABMAEUAVAAoAFwAbgAgACAAIAAgACAAIAAgACAAIAAgACAAIAAgACAAIAAgAHQAZQBzAHQAXwBrACwAIAB7ADcAOwAgADYAOwAgADUAOwAgADQAOwAgADMAOwAgADIAOwAgADEAfQAsAFwAbgAgACAAIAAgACAAIAAgACAAIAAgACAAIAAgACAAIAAgAFwAbgAgACAAIAAgACAAIAAgACAAIAAgACAAIAAgACAAIAAgAG0AYQB4AF8AbwB2AGUAcgBsAGEAcAAsACAAUgBPAFUATgBEAFUAUAAoAHIAZQBzAG8AbAB2AGUAZABfAGMAbwB1AG4AdAAgAC8AIAB0AGUAcwB0AF8AawAsACAAMAApACwAXABuACAAIAAgACAAIAAgACAAIAAgACAAIAAgACAAIAAgACAAXABuACAAIAAgACAAIAAgACAAIAAgACAAIAAgACAAIAAgACAALwAvACAAQwBhAGwAYwB1AGwAYQB0AGUAIAB0AGgAZQAgAGEAYgBzAG8AbAB1AHQAZQAgAHAAZQBhAGsAIAB2AGEAbAB1AGUAIABpAG4AcwBpAGQAZQAgAHQAaABlACAAZQBuAGcAaQBuAGUAIAAoAEMAbwBuAHYAbwBsAHUAdABpAG8AbgAgACsAIABDAGEAcgByAHkAKQBcAG4AIAAgACAAIAAgACAAIAAgACAAIAAgACAAIAAgACAAIAB1AG4AYwBhAHIAcgBpAGUAZABfAG0AYQB4ACwAIABtAGEAeABfAG8AdgBlAHIAbABhAHAAIAAqACAAKAAxADAAXgB0AGUAcwB0AF8AawAgAC0AIAAxACkAXgAyACwAXABuACAAIAAgACAAIAAgACAAIAAgACAAIAAgACAAIAAgACAAbQBhAHgAXwBjAGEAcgByAHkALAAgAEkATgBUACgAdQBuAGMAYQByAHIAaQBlAGQAXwBtAGEAeAAgAC8AIAAxADAAXgB0AGUAcwB0AF8AawApACwAXABuACAAIAAgACAAIAAgACAAIAAgACAAIAAgACAAIAAgACAAcABlAGEAawBfAHYAYQBsACwAIAB1AG4AYwBhAHIAcgBpAGUAZABfAG0AYQB4ACAAKwAgAG0AYQB4AF8AYwBhAHIAcgB5ACwAXABuACAAIAAgACAAIAAgACAAIAAgACAAIAAgACAAIAAgACAAXABuACAAIAAgACAAIAAgACAAIAAgACAAIAAgACAAIAAgACAALwAvACAAUgBlAHQAdQByAG4AIAB0AGgAZQAgAG0AYQB4ACAAawAgADwAPQAgAEUAeABjAGUAbAAnAHMAIAAxADUALQBkAGkAZwBpAHQAIABjAGUAaQBsAGkAbgBnAFwAbgAgACAAIAAgACAAIAAgACAAIAAgACAAIAAgACAAIAAgAE0AQQBYACgARgBJAEwAVABFAFIAKAB0AGUAcwB0AF8AawAsACAAcABlAGEAawBfAHYAYQBsACAAPAA9ACAAKAAxADAAXgAxADUAIAAtACAAMQApACkAKQBcAG4AIAAgACAAIAAgACAAIAAgACAAIAAgACAAKQAsAFwAbgAgACAAIAAgACAAIAAgACAAIAAgACAAIABcAG4AIAAgACAAIAAgACAAIAAgACAAIAAgACAAXAAiAEQASQBWAFwAIgAsACAANwAsAFwAbgAgACAAIAAgACAAIAAgACAAIAAgACAAIAAjAE4AQQBNAEUAPwBcAG4AIAAgACAAIAAgACAAIAAgACkAXABuACAAIAAgACAAKQBcAG4AKQA7AFwAbgBcAG4ALwAqACoAXABuACAAKgAgAFsASQBuAHQAZQByAG4AYQBsAF0AIABVAG4AaQBmAGkAZQBkACAAUwBwAGwAaQB0AHQAZQByAC4AIABTAHAAbABpAHQAcwAgAGIAbwB0AGgAIABzAGMAYQBsAGEAcgBzACAAYQBuAGQAIABhAHIAcgBhAHkAcwAgAGkAbgB0AG8AIABMAGkAdAB0AGwAZQAtAEUAbgBkAGkAYQBuACAAbABpAG0AYgBzAC4AXABuACAAKgAgAFUAcwBlAHMAIABNAEEAWAAoACkAIAB0AG8AIABnAHUAYQByAGEAbgB0AGUAZQAgAHMAYwBhAGwAYQByACAAaQBuAHAAdQB0AHMAIAB0AG8AIAB0AGgAZQAgAFMARQBRAFUARQBOAEMARQAgAGUAbgBnAGkAbgBlAC4AXABuACAAKgAgAEAAcABhAHIAYQBtACAAYgBpAGcAXwBpAG4AdABzACAAVABoAGUAIABzAHQAcgBpAG4AZwAgAG8AcgAgAGEAcgByAGEAeQAgAG8AZgAgAHMAdAByAGkAbgBnAHMALgBcAG4AIAAqACAAQABwAGEAcgBhAG0AIABrACAAVABoAGUAIABkAHkAbgBhAG0AaQBjACAAYwBoAHUAbgBrACAAcwBpAHoAZQAgAGMAbwBuAHQAZQB4AHQALgBcAG4AIAAqAC8AXABuAFMAcABsAGkAdAAgAD0AIABMAEEATQBCAEQAQQAoAHMAdAByAF8AbgBvAHIAbQBzACwAIABrACwAXABuACAAIAAgACAATABFAFQAKABcAG4AIAAgACAAIAAgACAAIAAgAGYAbABhAHQAdABlAG4AZQBkAF8AbgBvAHIAbQBzACwAIABUAE8AUgBPAFcAKABzAHQAcgBfAG4AbwByAG0AcwApACwAXABuACAAIAAgACAAIAAgACAAIABsAGUAbgBnAHQAaABzACwAIABMAEUATgAoAGYAbABhAHQAdABlAG4AZQBkAF8AbgBvAHIAbQBzACkALABcAG4AIAAgACAAIAAgACAAIAAgAG0AYQB4AF8AbABlAG4ALAAgAE0AQQBYACgAbABlAG4AZwB0AGgAcwApACwAXABuACAAIAAgACAAIAAgACAAIABwAGEAZABfAGwAZQBuACwAIABSAE8AVQBOAEQAVQBQACgAbQBhAHgAXwBsAGUAbgAgAC8AIABrACwAIAAwACkAIAAqACAAawAsAFwAbgAgACAAIAAgACAAIAAgACAAXABuACAAIAAgACAAIAAgACAAIABwAGEAZABkAGUAZABfAG4AbwByAG0AcwAsACAAUgBFAFAAVAAoAFwAIgAwAFwAIgAsACAAcABhAGQAXwBsAGUAbgAgAC0AIABsAGUAbgBnAHQAaABzACkAIAAmACAAZgBsAGEAdAB0AGUAbgBlAGQAXwBuAG8AcgBtAHMALABcAG4AIAAgACAAIAAgACAAIAAgAGwAaQBtAGIAXwBzAHQAYQByAHQAXwBpAG4AZABpAGMAZQBzACwAIABTAEUAUQBVAEUATgBDAEUAKABwAGEAZABfAGwAZQBuACAALwAgAGsALAAgADEALAAgAHAAYQBkAF8AbABlAG4AIAAtACAAawAgACsAIAAxACwAIAAtAGsAKQAsAFwAbgAgACAAIAAgACAAIAAgACAAXABuACAAIAAgACAAIAAgACAAIAAtAC0ATQBJAEQAKABwAGEAZABkAGUAZABfAG4AbwByAG0AcwAsACAAbABpAG0AYgBfAHMAdABhAHIAdABfAGkAbgBkAGkAYwBlAHMALAAgAGsAKQBcAG4AIAAgACAAIAApAFwAbgApADsAXABuAFwAbgAvACoAKgBcAG4AIAAqACAAWwBJAG4AdABlAHIAbgBhAGwAXQAgAEMAbwBuAGMAYQB0AGUAbgBhAHQAZQBzACAAYQBuACAAYQByAHIAYQB5ACAAbwBmACAAbgB1AG0AZQByAGkAYwAgAGwAaQBtAGIAcwAgAGkAbgB0AG8AIABhACAAQgBpAGcASQBuAHQAIABzAHQAcgBpAG4AZwAsACAAegBlAHIAbwAtAHAAYQBkAGQAaQBuAGcAIABhAGwAbAAgAGIAdQB0ACAAdABoAGUAIABmAGkAcgBzAHQAIABsAGkAbQBiAC4AXABuACAAKgAgAEAAcABhAHIAYQBtACAAbABpAG0AYgBzACAAVABoAGUAIAB2AGUAcgB0AGkAYwBhAGwAIABhAHIAcgBhAHkAIABvAGYAIABuAHUAbQBlAHIAaQBjACAAbABpAG0AYgBzAC4AXABuACAAKgAgAEAAcABhAHIAYQBtACAAawAgAFQAaABlACAAbABpAG0AYgAgAHMAaQB6AGUAIAB1AHMAZQBkACAAZAB1AHIAaQBuAGcAIABjAGEAbABjAHUAbABhAHQAaQBvAG4ALgBcAG4AIAAqAC8AXABuAE0AZQByAGcAZQAgAD0AIABMAEEATQBCAEQAQQAoAGwAaQBtAGIAcwAsACAAawAsAFwAbgAgACAAIAAgAEwARQBUACgAXABuACAAIAAgACAAIAAgACAAIABuAHUAbQBfAGwAaQBtAGIAcwAsACAAUgBPAFcAUwAoAGwAaQBtAGIAcwApACwAXABuACAAIAAgACAAIAAgACAAIAByAGUAdgBfAGwAaQBtAGIAcwAsACAAQwBIAE8ATwBTAEUAUgBPAFcAUwAoAGwAaQBtAGIAcwAsACAAUwBFAFEAVQBFAE4AQwBFACgAbgB1AG0AXwBsAGkAbQBiAHMALAAgADEALAAgAG4AdQBtAF8AbABpAG0AYgBzACwAIAAtADEAKQApACwAXABuACAAIAAgACAAXABuACAAIAAgACAAIAAgACAAIABJAEYAKABuAHUAbQBfAGwAaQBtAGIAcwAgAD0AIAAxACwAXABuACAAIAAgACAAIAAgACAAIAAgACAAIAAgAHIAZQB2AF8AbABpAG0AYgBzACAAJgAgAFwAIgBcACIALABcAG4AIAAgACAAIAAgACAAIAAgACAAIAAgACAAQwBPAE4AQwBBAFQAKABcAG4AIAAgACAAIAAgACAAIAAgACAAIAAgACAAIAAgACAAIABWAFMAVABBAEMASwAoAFwAbgAgACAAIAAgACAAIAAgACAAIAAgACAAIAAgACAAIAAgACAAIAAgACAAVABBAEsARQAoAHIAZQB2AF8AbABpAG0AYgBzACwAIAAxACkAIAAmACAAXAAiAFwAIgAsAFwAbgAgACAAIAAgACAAIAAgACAAIAAgACAAIAAgACAAIAAgACAAIAAgACAAVABFAFgAVAAoAEQAUgBPAFAAKAByAGUAdgBfAGwAaQBtAGIAcwAsACAAMQApACwAIABSAEUAUABUACgAXAAiADAAXAAiACwAIABrACkAKQBcAG4AIAAgACAAIAAgACAAIAAgACAAIAAgACAAIAAgACAAIAApAFwAbgAgACAAIAAgACAAIAAgACAAIAAgACAAIAApAFwAbgAgACAAIAAgACAAIAAgACAAKQBcAG4AIAAgACAAIAApAFwAbgApADsAXABuAFwAbgAvACoAKgBcAG4AIAAqACAAWwBJAG4AdABlAHIAbgBhAGwAXQAgAFIAZQBzAG8AbAB2AGUAcwAgAGMAYQByAHIAaQBlAHMAIAByAGkAZwBoAHQALQB0AG8ALQBsAGUAZgB0ACAAYQBjAHIAbwBzAHMAIABhACAAdgBlAHIAdABpAGMAYQBsACAAYQByAHIAYQB5ACAAbwBmACAAYgBhAHMAZQAtADEAMABeAGsAIABsAGkAbQBiAHMALgBcAG4AIAAqACAAQABwAGEAcgBhAG0AIABsAGkAbQBiAHMAIABUAGgAZQAgAGEAcgByAGEAeQAgAG8AZgAgAG4AdQBtAGUAcgBpAGMAIABsAGkAbQBiAHMALgBcAG4AIAAqACAAQABwAGEAcgBhAG0AIABrACAAVABoAGUAIABsAGkAbQBiACAAcwBpAHoAZQAuAFwAbgAgACoALwBcAG4AQwBhAHIAcgB5ACAAPQAgAEwAQQBNAEIARABBACgAbABpAG0AYgBzACwAIABrACwAXABuACAAIAAgACAATABFAFQAKABcAG4AIAAgACAAIAAgACAAIAAgAG4AdQBtAF8AbABpAG0AYgBzACwAIABSAE8AVwBTACgAbABpAG0AYgBzACkALABcAG4AIAAgACAAIAAgACAAIAAgAHIAYQBkAGkAeABfAGIAYQBzAGUALAAgADEAMABeAGsALABcAG4AIAAgACAAIAAgACAAIAAgAGEAcgByAF8AYwBhAHIAcgBpAGUAcwAsACAAUwBDAEEATgAoADAALAAgAGwAaQBtAGIAcwAsACAATABBAE0AQgBEAEEAKABhAGMAYwAsACAAdgBhAGwALAAgAHYAYQBsACAAKwAgAEkATgBUACgAYQBjAGMAIAAvACAAcgBhAGQAaQB4AF8AYgBhAHMAZQApACkAKQAsAFwAbgAgACAAIAAgACAAIAAgACAAcgBlAG0AYQBpAG4AZABlAHIAcwAsACAATQBPAEQAKABhAHIAcgBfAGMAYQByAHIAaQBlAHMALAAgAHIAYQBkAGkAeABfAGIAYQBzAGUAKQAsAFwAbgAgACAAIAAgACAAIAAgACAAZgBpAG4AYQBsAF8AYwBhAHIAcgB5ACwAIABJAE4AVAAoAEkATgBEAEUAWAAoAGEAcgByAF8AYwBhAHIAcgBpAGUAcwAsACAAbgB1AG0AXwBsAGkAbQBiAHMALAAgADEAKQAgAC8AIAByAGEAZABpAHgAXwBiAGEAcwBlACkALABcAG4AXABuACAAIAAgACAAIAAgACAAIABJAEYAKABmAGkAbgBhAGwAXwBjAGEAcgByAHkAIAA+ACAAMAAsACAAVgBTAFQAQQBDAEsAKAByAGUAbQBhAGkAbgBkAGUAcgBzACwAIABmAGkAbgBhAGwAXwBjAGEAcgByAHkAKQAsACAAcgBlAG0AYQBpAG4AZABlAHIAcwApAFwAbgAgACAAIAAgACkAXABuACkAOwBcAG4AXABuAC8ALwAgAC0ALQAtACAAVQBuAHMAaQBnAG4AZQBkACAASwBlAHIAbgBlAGwAcwAgAC0ALQAtACAAXABcAFwAXABcAG4AXABuAC8AKgAqAFwAbgAgACoAIABbAEkAbgB0AGUAcgBuAGEAbABdACAAVQBuAHMAaQBnAG4AZQBkACAAYwBvAG0AcABhAHIAaQBzAG8AbgAgAG8AZgAgAHQAdwBvACAATABpAHQAdABsAGUALQBFAG4AZABpAGEAbgAgAGwAaQBtAGIAIABhAHIAcgBhAHkAcwAuAFwAbgAgACoAIABSAGUAdAB1AHIAbgBzACAAMQAgACgAYQAgAD4AIABiACkALAAgAC0AMQAgACgAYQAgADwAIABiACkALAAgAG8AcgAgADAAIAAoAGEAIAA9ACAAYgApAC4AXABuACAAKgAgAEAAcABhAHIAYQBtACAAbABpAG0AYgBzAF8AYQAgAFQAaABlACAAZgBpAHIAcwB0ACAAbABpAG0AYgAgAGEAcgByAGEAeQAuAFwAbgAgACoAIABAAHAAYQByAGEAbQAgAGwAaQBtAGIAcwBfAGIAIABUAGgAZQAgAHMAZQBjAG8AbgBkACAAbABpAG0AYgAgAGEAcgByAGEAeQAuAFwAbgAgACoALwBcAG4AVQBDAG8AbQBwAGEAcgBlACAAPQAgAEwAQQBNAEIARABBACgAbABpAG0AYgBzAF8AYQAsACAAbABpAG0AYgBzAF8AYgAsAFwAbgAgACAAIAAgAEwARQBUACgAXABuACAAIAAgACAAIAAgACAAIABtAGEAeABfAHIAbwB3AHMALAAgAE0AQQBYACgAUgBPAFcAUwAoAGwAaQBtAGIAcwBfAGEAKQAsACAAUgBPAFcAUwAoAGwAaQBtAGIAcwBfAGIAKQApACwAXABuACAAIAAgACAAIAAgACAAIABsAGkAbQBiAHMAXwBhAF8AYQBsAGkAZwBuAGUAZAAsACAARQBYAFAAQQBOAEQAKABsAGkAbQBiAHMAXwBhACwAIABtAGEAeABfAHIAbwB3AHMALAAgADEALAAgADAAKQAsAFwAbgAgACAAIAAgACAAIAAgACAAbABpAG0AYgBzAF8AYgBfAGEAbABpAGcAbgBlAGQALAAgAEUAWABQAEEATgBEACgAbABpAG0AYgBzAF8AYgAsACAAbQBhAHgAXwByAG8AdwBzACwAIAAxACwAIAAwACkALABcAG4AIAAgACAAIAAgACAAIAAgAFwAbgAgACAAIAAgACAAIAAgACAAZABpAGYAZgBlAHIAZQBuAGMAZQBzACwAIABsAGkAbQBiAHMAXwBhAF8AYQBsAGkAZwBuAGUAZAAgAC0AIABsAGkAbQBiAHMAXwBiAF8AYQBsAGkAZwBuAGUAZAAsAFwAbgAgACAAIAAgACAAIAAgACAAaABpAGcAaABlAHMAdABfAG4AbwBuAF8AegBlAHIAbwBfAGkAbgBkAGUAeAAsACAAWABNAEEAVABDAEgAKABUAFIAVQBFACwAIABkAGkAZgBmAGUAcgBlAG4AYwBlAHMAIAA8AD4AIAAwACwAIAAwACwAIAAtADEAKQAsAFwAbgAgACAAIAAgACAAIAAgACAAXABuACAAIAAgACAAIAAgACAAIABJAEYAKABJAFMATgBBACgAaABpAGcAaABlAHMAdABfAG4AbwBuAF8AegBlAHIAbwBfAGkAbgBkAGUAeAApACwAIAAwACwAIABTAEkARwBOACgASQBOAEQARQBYACgAZABpAGYAZgBlAHIAZQBuAGMAZQBzACwAIABoAGkAZwBoAGUAcwB0AF8AbgBvAG4AXwB6AGUAcgBvAF8AaQBuAGQAZQB4ACwAIAAxACkAKQApAFwAbgAgACAAIAAgACkAXABuACkAOwBcAG4AXABuAC8AKgAqAFwAbgAgACoAIABbAEkAbgB0AGUAcgBuAGEAbABdACAAVQBuAHMAaQBnAG4AZQBkACAAYQBkAGQAaQB0AGkAbwBuACAAbwBmACAAdAB3AG8AIABMAGkAdAB0AGwAZQAtAEUAbgBkAGkAYQBuACAAbABpAG0AYgAgAGEAcgByAGEAeQBzAC4AXABuACAAKgAgAEAAcABhAHIAYQBtACAAbABpAG0AYgBzAF8AYQAgAFQAaABlACAAZgBpAHIAcwB0ACAAbABpAG0AYgAgAGEAcgByAGEAeQAuAFwAbgAgACoAIABAAHAAYQByAGEAbQAgAGwAaQBtAGIAcwBfAGIAIABUAGgAZQAgAHMAZQBjAG8AbgBkACAAbABpAG0AYgAgAGEAcgByAGEAeQAuAFwAbgAgACoAIABAAHAAYQByAGEAbQAgAGsAIABUAGgAZQAgAGQAeQBuAGEAbQBpAGMAIABjAGgAdQBuAGsAIABzAGkAegBlACAAYwBvAG4AdABlAHgAdAAuAFwAbgAgACoALwBcAG4AVQBBAGQAZAAgAD0AIABMAEEATQBCAEQAQQAoAGEALAAgAGIALAAgAGsALABcAG4AIAAgACAAIABMAEUAVAAoAFwAbgAgACAAIAAgACAAIAAgACAAbQBhAHgAXwByAG8AdwBzACwAIABNAEEAWAAoAFIATwBXAFMAKABhACkALAAgAFIATwBXAFMAKABiACkAKQAsAFwAbgAgACAAIAAgACAAIAAgACAAbABpAG0AYgBzAF8AYQBfAGEAbABpAGcAbgBlAGQALAAgAEUAWABQAEEATgBEACgAYQAsACAAbQBhAHgAXwByAG8AdwBzACwAIAAxACwAIAAwACkALABcAG4AIAAgACAAIAAgACAAIAAgAGwAaQBtAGIAcwBfAGIAXwBhAGwAaQBnAG4AZQBkACwAIABFAFgAUABBAE4ARAAoAGIALAAgAG0AYQB4AF8AcgBvAHcAcwAsACAAMQAsACAAMAApACwAXABuACAAIAAgACAAIAAgACAAIABcAG4AIAAgACAAIAAgACAAIAAgAEMAYQByAHIAeQAoAGwAaQBtAGIAcwBfAGEAXwBhAGwAaQBnAG4AZQBkACAAKwAgAGwAaQBtAGIAcwBfAGIAXwBhAGwAaQBnAG4AZQBkACwAIABrACkAXABuACAAIAAgACAAKQBcAG4AKQA7AFwAbgBcAG4ALwAqACoAXABuACAAKgAgAFsASQBuAHQAZQByAG4AYQBsAF0AIABVAG4AcwBpAGcAbgBlAGQAIABzAHUAYgB0AHIAYQBjAHQAaQBvAG4AIABvAGYAIAB0AHcAbwAgAEwAaQB0AHQAbABlAC0ARQBuAGQAaQBhAG4AIABsAGkAbQBiACAAYQByAHIAYQB5AHMALgBcAG4AIAAqACAAQQBzAHMAdQBtAGUAcwAgAG0AYQBnAG4AaQB0AHUAZABlAHMAIABBACAAPgA9ACAAQgAuACAAUgBlAHMAbwBsAHYAZQBzACAAYgBvAHIAcgBvAHcAcwAgAHQAbwBwAC0AdABvAC0AYgBvAHQAdABvAG0AIABhAG4AZAAgAHQAcgBpAG0AcwAgAHQAcgBhAGkAbABpAG4AZwAgAHoAZQByAG8AcwAuAFwAbgAgACoAIABAAHAAYQByAGEAbQAgAGwAaQBtAGIAcwBfAGEAIABUAGgAZQAgAG0AaQBuAHUAZQBuAGQAIABsAGkAbQBiACAAYQByAHIAYQB5ACAAKABtAHUAcwB0ACAAYgBlACAAPgA9ACAAbABpAG0AYgBzAF8AYgApAC4AXABuACAAKgAgAEAAcABhAHIAYQBtACAAbABpAG0AYgBzAF8AYgAgAFQAaABlACAAcwB1AGIAdAByAGEAaABlAG4AZAAgAGwAaQBtAGIAIABhAHIAcgBhAHkALgBcAG4AIAAqACAAQABwAGEAcgBhAG0AIABrACAAVABoAGUAIABkAHkAbgBhAG0AaQBjACAAYwBoAHUAbgBrACAAcwBpAHoAZQAgAGMAbwBuAHQAZQB4AHQALgBcAG4AIAAqAC8AXABuAFUAUwB1AGIAIAA9ACAATABBAE0AQgBEAEEAKABsAGkAbQBiAHMAXwBhACwAIABsAGkAbQBiAHMAXwBiACwAIABrACwAXABuACAAIAAgACAATABFAFQAKABcAG4AIAAgACAAIAAgACAAIAAgAG0AYQB4AF8AcgBvAHcAcwAsACAATQBBAFgAKABSAE8AVwBTACgAbABpAG0AYgBzAF8AYQApACwAIABSAE8AVwBTACgAbABpAG0AYgBzAF8AYgApACkALABcAG4AIAAgACAAIAAgACAAIAAgAGwAaQBtAGIAcwBfAGEAXwBhAGwAaQBnAG4AZQBkACwAIABFAFgAUABBAE4ARAAoAGwAaQBtAGIAcwBfAGEALAAgAG0AYQB4AF8AcgBvAHcAcwAsACAAMQAsACAAMAApACwAXABuACAAIAAgACAAIAAgACAAIABsAGkAbQBiAHMAXwBiAF8AYQBsAGkAZwBuAGUAZAAsACAARQBYAFAAQQBOAEQAKABsAGkAbQBiAHMAXwBiACwAIABtAGEAeABfAHIAbwB3AHMALAAgADEALAAgADAAKQAsAFwAbgAgACAAIAAgACAAIAAgACAAXABuACAAIAAgACAAIAAgACAAIABkAGkAZgBmAGUAcgBlAG4AYwBlAHMALAAgAGwAaQBtAGIAcwBfAGEAXwBhAGwAaQBnAG4AZQBkACAALQAgAGwAaQBtAGIAcwBfAGIAXwBhAGwAaQBnAG4AZQBkACwAXABuACAAIAAgACAAIAAgACAAIABjAGEAcgByAGkAZQBkAF8AZABpAGYAZgBlAHIAZQBuAGMAZQBzACwAIABDAGEAcgByAHkAKABkAGkAZgBmAGUAcgBlAG4AYwBlAHMALAAgAGsAKQAsAFwAbgAgACAAIAAgACAAIAAgACAAXABuACAAIAAgACAAIAAgACAAIABoAGkAZwBoAGUAcwB0AF8AbgBvAG4AXwB6AGUAcgBvAF8AaQBuAGQAZQB4ACwAIABYAE0AQQBUAEMASAAoAFQAUgBVAEUALAAgAGMAYQByAHIAaQBlAGQAXwBkAGkAZgBmAGUAcgBlAG4AYwBlAHMAIAA8AD4AIAAwACwAIAAwACwAIAAtADEAKQAsAFwAbgAgACAAIAAgACAAIAAgACAAXABuACAAIAAgACAAIAAgACAAIABJAEYAKABJAFMATgBBACgAaABpAGcAaABlAHMAdABfAG4AbwBuAF8AegBlAHIAbwBfAGkAbgBkAGUAeAApACwAIAB7ADAAfQAsACAAVABBAEsARQAoAGMAYQByAHIAaQBlAGQAXwBkAGkAZgBmAGUAcgBlAG4AYwBlAHMALAAgAGgAaQBnAGgAZQBzAHQAXwBuAG8AbgBfAHoAZQByAG8AXwBpAG4AZABlAHgAKQApAFwAbgAgACAAIAAgACkAXABuACkAOwBcAG4AXABuAC8AKgAqAFwAbgAgACoAIABbAEkAbgB0AGUAcgBuAGEAbABdACAAVgBlAGMAdABvAHIAaQB6AGUAZAAgAG0AYQB0AHIAaQB4ACAAcwB1AG0AIABvAGYAIAB1AG4AcwBpAGcAbgBlAGQAIABCAGkAZwBJAG4AdAAgAHMAdAByAGkAbgBnAHMALgBcAG4AIAAqACAAQABwAGEAcgBhAG0AIABzAHQAcgBfAG4AbwByAG0AcwAgAEgAbwByAGkAegBvAG4AdABhAGwAIABhAHIAcgBhAHkAIAAoADEAeABOACkAIABvAGYAIABuAG8AcgBtAGEAbABpAHoAZQBkACAAbQBhAGcAbgBpAHQAdQBkAGUAIABzAHQAcgBpAG4AZwBzAC4AXABuACAAKgAgAEAAcABhAHIAYQBtACAAawAgAFQAaABlACAAdQBuAGkAZgBpAGUAZAAgAGQAeQBuAGEAbQBpAGMAIABjAGgAdQBuAGsAIABzAGkAegBlACAAYwBvAG4AdABlAHgAdAAuAFwAbgAgACoALwBcAG4AVQBNAGEAdAByAGkAeABTAHUAbQAgAD0AIABMAEEATQBCAEQAQQAoAHMAdAByAF8AbgBvAHIAbQBzACwAIABrACwAXABuACAAIAAgACAATABFAFQAKABcAG4AIAAgACAAIAAgACAAIAAgAGcAcgBpAGQALAAgAFMAcABsAGkAdAAoAHMAdAByAF8AbgBvAHIAbQBzACwAIABrACkALABcAG4AIAAgACAAIAAgACAAIAAgAHIAYQB3AF8AbABpAG0AYgBzACwAIABCAFkAUgBPAFcAKABnAHIAaQBkACwAIABTAFUATQApACwAXABuACAAIAAgACAAIAAgACAAIABcAG4AIAAgACAAIAAgACAAIAAgAEMAYQByAHIAeQAoAHIAYQB3AF8AbABpAG0AYgBzACwAIABrACkAXABuACAAIAAgACAAKQBcAG4AKQA7AFwAbgBcAG4ALwAqACoAXABuACAAKgAgAFsASQBuAHQAZQByAG4AYQBsAF0AIABSAG8AdQB0AGUAcwAgAGEAZABkAGkAdABpAG8AbgAvAHMAdQBiAHQAcgBhAGMAdABpAG8AbgAgAGIAYQBzAGUAZAAgAG8AbgAgAHMAaQBnAG4AcwAgAGEAbgBkACAAbQBhAGcAbgBpAHQAdQBkAGUAcwAuAFwAbgAgACoAIABSAGUAdAB1AHIAbgBzACAAYQAgAHQAdQBwAGwAZQAgAGEAcgByAGEAeQA6ACAAVgBTAFQAQQBDAEsAKABsAGkAbQBiAHMALAAgAGYAaQBuAGEAbABfAHMAaQBnAG4AKQAgAHcAaABlAHIAZQAgAHQAaABlACAAZgBpAG4AYQBsACAAcgBvAHcAIABpAHMAIAB0AGgAZQAgAHMAYwBhAGwAYQByACAAcwBpAGcAbgAuAFwAbgAgACoAIABAAHAAYQByAGEAbQAgAGwAaQBtAGIAcwBfAGEAIABUAGgAZQAgAGYAaQByAHMAdAAgAGwAaQB0AHQAbABlAC0AZQBuAGQAaQBhAG4AIABsAGkAbQBiACAAYQByAHIAYQB5AC4AXABuACAAKgAgAEAAcABhAHIAYQBtACAAbABpAG0AYgBzAF8AYgAgAFQAaABlACAAcwBlAGMAbwBuAGQAIABsAGkAdAB0AGwAZQAtAGUAbgBkAGkAYQBuACAAbABpAG0AYgAgAGEAcgByAGEAeQAuAFwAbgAgACoAIABAAHAAYQByAGEAbQAgAHMAaQBnAG4AXwBhACAAVABoAGUAIABzAGkAZwBuACAAbwBmACAAdABoAGUAIABmAGkAcgBzAHQAIABhAHIAcgBhAHkAIAAoADEALAAgAC0AMQAsACAAMAApAC4AXABuACAAKgAgAEAAcABhAHIAYQBtACAAcwBpAGcAbgBfAGIAIABUAGgAZQAgAHMAaQBnAG4AIABvAGYAIAB0AGgAZQAgAHMAZQBjAG8AbgBkACAAYQByAHIAYQB5ACAAKAAxACwAIAAtADEALAAgADAAKQAuAFwAbgAgACoAIABAAHAAYQByAGEAbQAgAGsAIABUAGgAZQAgAGQAeQBuAGEAbQBpAGMAIABjAGgAdQBuAGsAIABzAGkAegBlACAAYwBvAG4AdABlAHgAdAAuAFwAbgAgACoALwBcAG4AQQBkAGQAUwB1AGIAUgBvAHUAdABlAHIAIAA9ACAATABBAE0AQgBEAEEAKABsAGkAbQBiAHMAXwBhACwAIABsAGkAbQBiAHMAXwBiACwAIABzAGkAZwBuAF8AYQAsACAAcwBpAGcAbgBfAGIALAAgAGsALABcAG4AIAAgACAAIABMAEUAVAAoAFwAbgAgACAAIAAgACAAIAAgACAAaQBzAF8AYQBkAGQAaQB0AGkAbwBuACwAIABzAGkAZwBuAF8AYQAgAD0AIABzAGkAZwBuAF8AYgAsAFwAbgAgACAAIAAgACAAIAAgACAAXABuACAAIAAgACAAIAAgACAAIABJAEYAKABpAHMAXwBhAGQAZABpAHQAaQBvAG4ALABcAG4AIAAgACAAIAAgACAAIAAgACAAIAAgACAAVgBTAFQAQQBDAEsAKABVAEEAZABkACgAbABpAG0AYgBzAF8AYQAsACAAbABpAG0AYgBzAF8AYgAsACAAawApACwAIABzAGkAZwBuAF8AYQApACwAXABuACAAIAAgACAAIAAgACAAIAAgACAAIAAgAFwAbgAgACAAIAAgACAAIAAgACAAIAAgACAAIABMAEUAVAAoAFwAbgAgACAAIAAgACAAIAAgACAAIAAgACAAIAAgACAAIAAgAG0AYQBnAG4AaQB0AHUAZABlAF8AYwBvAG0AcABhAHIAaQBzAG8AbgAsACAAVQBDAG8AbQBwAGEAcgBlACgAbABpAG0AYgBzAF8AYQAsACAAbABpAG0AYgBzAF8AYgApACwAXABuACAAIAAgACAAIAAgACAAIAAgACAAIAAgACAAIAAgACAAXABuACAAIAAgACAAIAAgACAAIAAgACAAIAAgACAAIAAgACAASQBGACgAbQBhAGcAbgBpAHQAdQBkAGUAXwBjAG8AbQBwAGEAcgBpAHMAbwBuACAAPQAgADAALAAgAC8ALwAgAFQAbwB0AGEAbAAgAGMAYQBuAGMAZQBsAGwAYQB0AGkAbwBuADoAXABuACAAIAAgACAAIAAgACAAIAAgACAAIAAgACAAIAAgACAAIAAgACAAIAB7ADAAOwAwAH0ALABcAG4AIAAgACAAIAAgACAAIAAgACAAIAAgACAAIAAgACAAIAAgACAAIAAgAFwAbgAgACAAIAAgACAAIAAgACAAIAAgACAAIAAgACAAIAAgACAAIAAgACAASQBGACgAbQBhAGcAbgBpAHQAdQBkAGUAXwBjAG8AbQBwAGEAcgBpAHMAbwBuACAAPgAgADAALABcAG4AIAAgACAAIAAgACAAIAAgACAAIAAgACAAIAAgACAAIAAgACAAIAAgACAAIAAgACAALwAvACAAQQAgAGkAcwAgAGwAYQByAGcAZQByADoAIABzAGkAZwBuACAAYgBlAGwAbwBuAGcAcwAgAHQAbwAgAEEALgBcAG4AIAAgACAAIAAgACAAIAAgACAAIAAgACAAIAAgACAAIAAgACAAIAAgACAAIAAgACAAVgBTAFQAQQBDAEsAKABVAFMAdQBiACgAbABpAG0AYgBzAF8AYQAsACAAbABpAG0AYgBzAF8AYgAsACAAawApACwAIABzAGkAZwBuAF8AYQApACwAXABuACAAIAAgACAAIAAgACAAIAAgACAAIAAgACAAIAAgACAAIAAgACAAIAAgACAAIAAgAFwAbgAgACAAIAAgACAAIAAgACAAIAAgACAAIAAgACAAIAAgACAAIAAgACAAIAAgACAAIAAvAC8AIABCACAAaQBzACAAbABhAHIAZwBlAHIAOgAgAHIAbwB1AHQAZQAgAEIAIABmAGkAcgBzAHQALAAgAHMAaQBnAG4AIABiAGUAbABvAG4AZwBzACAAdABvACAAQgAuAFwAbgAgACAAIAAgACAAIAAgACAAIAAgACAAIAAgACAAIAAgACAAIAAgACAAIAAgACAAIABWAFMAVABBAEMASwAoAFUAUwB1AGIAKABsAGkAbQBiAHMAXwBiACwAIABsAGkAbQBiAHMAXwBhACwAIABrACkALAAgAHMAaQBnAG4AXwBiACkAXABuACAAIAAgACAAIAAgACAAIAAgACAAIAAgACAAIAAgACAAIAAgACAAIAApAFwAbgAgACAAIAAgACAAIAAgACAAIAAgACAAIAAgACAAIAAgACkAXABuACAAIAAgACAAIAAgACAAIAAgACAAIAAgACkAXABuACAAIAAgACAAIAAgACAAIAApAFwAbgAgACAAIAAgACkAXABuACkAOwBcAG4AXABuAC8AKgAqAFwAbgAgACoAIABbAEkAbgB0AGUAcgBuAGEAbABdACAAVQBuAHMAaQBnAG4AZQBkACAAbQB1AGwAdABpAHAAbABpAGMAYQB0AGkAbwBuACAAbwBmACAAdAB3AG8AIABMAGkAdAB0AGwAZQAtAEUAbgBkAGkAYQBuACAAbABpAG0AYgAgAGEAcgByAGEAeQBzAC4AXABuACAAKgAgAFUAdABpAGwAaQB6AGUAcwAgAGEAIAAxAEQAIABEAGkAcwBjAHIAZQB0AGUAIABDAG8AbgB2AG8AbAB1AHQAaQBvAG4AIAAoAEMAYQB1AGMAaAB5ACAAUAByAG8AZAB1AGMAdAApACAAYQByAHIAYQB5AC0AcwBsAGkAYwBpAG4AZwAgAHMAdAByAGEAdABlAGcAeQAuAFwAbgAgACoAIABaAGUAcgBvACAAZAB5AG4AYQBtAGkAYwAgAG0AZQBtAG8AcgB5ACAAcgBlAGEAbABsAG8AYwBhAHQAaQBvAG4ALgAgACQATwAoAE4AKwBNACkAJAAgAG0AZQBtAG8AcgB5ACAAZgBvAG8AdABwAHIAaQBuAHQALgBcAG4AIAAqACAAQABwAGEAcgBhAG0AIABsAGkAbQBiAHMAXwBhACAAVABoAGUAIABtAHUAbAB0AGkAcABsAGkAYwBhAG4AZAAgAGwAaQBtAGIAIABhAHIAcgBhAHkALgBcAG4AIAAqACAAQABwAGEAcgBhAG0AIABsAGkAbQBiAHMAXwBiACAAVABoAGUAIABtAHUAbAB0AGkAcABsAGkAZQByACAAbABpAG0AYgAgAGEAcgByAGEAeQAuAFwAbgAgACoAIABAAHAAYQByAGEAbQAgAGsAIABUAGgAZQAgAGQAeQBuAGEAbQBpAGMAIABjAGgAdQBuAGsAIABzAGkAegBlACAAYwBvAG4AdABlAHgAdAAuAFwAbgAgACoALwBcAG4AVQBNAHUAbAAgAD0AIABMAEEATQBCAEQAQQAoAGwAaQBtAGIAcwBfAGEALAAgAGwAaQBtAGIAcwBfAGIALAAgAGsALABcAG4AIAAgACAAIABMAEUAVAAoAFwAbgAgACAAIAAgACAAIAAgACAAbgB1AG0AXwBsAGkAbQBiAHMAXwBhACwAIABSAE8AVwBTACgAbABpAG0AYgBzAF8AYQApACwAXABuACAAIAAgACAAIAAgACAAIABuAHUAbQBfAGwAaQBtAGIAcwBfAGIALAAgAFIATwBXAFMAKABsAGkAbQBiAHMAXwBiACkALABcAG4AIAAgACAAIAAgACAAIAAgAGMAbwBuAHYAbwBsAHUAdABpAG8AbgBfAGwAZQBuAGcAdABoACwAIABuAHUAbQBfAGwAaQBtAGIAcwBfAGEAIAArACAAbgB1AG0AXwBsAGkAbQBiAHMAXwBiACAALQAgADEALABcAG4AIAAgACAAIAAgACAAIAAgAFwAbgAgACAAIAAgACAAIAAgACAAcgBhAHcAXwBjAG8AbgB2AG8AbAB1AHQAaQBvAG4ALAAgAE0AQQBLAEUAQQBSAFIAQQBZACgAYwBvAG4AdgBvAGwAdQB0AGkAbwBuAF8AbABlAG4AZwB0AGgALAAgADEALAAgAEwAQQBNAEIARABBACgAcgAsACAAYwAsAFwAbgAgACAAIAAgACAAIAAgACAAIAAgACAAIABMAEUAVAAoAFwAbgAgACAAIAAgACAAIAAgACAAIAAgACAAIAAgACAAIAAgAHcAaQBuAGQAbwB3AF8AcwB0AGEAcgB0AF8AaQAsACAATQBBAFgAKAAxACwAIAByACAALQAgAG4AdQBtAF8AbABpAG0AYgBzAF8AYgAgACsAIAAxACkALABcAG4AIAAgACAAIAAgACAAIAAgACAAIAAgACAAIAAgACAAIAB3AGkAbgBkAG8AdwBfAGUAbgBkAF8AaQAsACAATQBJAE4AKAByACwAIABuAHUAbQBfAGwAaQBtAGIAcwBfAGEAKQAsAFwAbgAgACAAIAAgACAAIAAgACAAIAAgACAAIAAgACAAIAAgAFwAbgAgACAAIAAgACAAIAAgACAAIAAgACAAIAAgACAAIAAgAG8AdgBlAHIAbABhAHAAXwByAG8AdwBzACwAIAB3AGkAbgBkAG8AdwBfAGUAbgBkAF8AaQAgAC0AIAB3AGkAbgBkAG8AdwBfAHMAdABhAHIAdABfAGkAIAArACAAMQAsAFwAbgAgACAAIAAgACAAIAAgACAAIAAgACAAIAAgACAAIAAgAFwAbgAgACAAIAAgACAAIAAgACAAIAAgACAAIAAgACAAIAAgAHMAZQBxAF8AaQAsACAAUwBFAFEAVQBFAE4AQwBFACgAbwB2AGUAcgBsAGEAcABfAHIAbwB3AHMALAAgADEALAAgAHcAaQBuAGQAbwB3AF8AcwB0AGEAcgB0AF8AaQAsACAAMQApACwAXABuACAAIAAgACAAIAAgACAAIAAgACAAIAAgACAAIAAgACAAcwBlAHEAXwBqACwAIABTAEUAUQBVAEUATgBDAEUAKABvAHYAZQByAGwAYQBwAF8AcgBvAHcAcwAsACAAMQAsACAAcgAgAC0AIAB3AGkAbgBkAG8AdwBfAHMAdABhAHIAdABfAGkAIAArACAAMQAsACAALQAxACkALABcAG4AIAAgACAAIAAgACAAIAAgACAAIAAgACAAIAAgACAAIABcAG4AIAAgACAAIAAgACAAIAAgACAAIAAgACAAIAAgACAAIABTAFUATQAoAEkATgBEAEUAWAAoAGwAaQBtAGIAcwBfAGEALAAgAHMAZQBxAF8AaQAsACAAMQApACAAKgAgAEkATgBEAEUAWAAoAGwAaQBtAGIAcwBfAGIALAAgAHMAZQBxAF8AagAsACAAMQApACkAXABuACAAIAAgACAAIAAgACAAIAAgACAAIAAgACkAXABuACAAIAAgACAAIAAgACAAIAApACkALABcAG4AIAAgACAAIAAgACAAIAAgAFwAbgAgACAAIAAgACAAIAAgACAAQwBhAHIAcgB5ACgAcgBhAHcAXwBjAG8AbgB2AG8AbAB1AHQAaQBvAG4ALAAgAGsAKQBcAG4AIAAgACAAIAApAFwAbgApADsAXABuAFwAbgAvACoAKgBcAG4AoAAqACAAWwBJAG4AdABlAHIAbgBhAGwAXQAgAEIAaQBuAGEAcgB5ACAAcwBlAGEAcgBjAGgAIAB0AG8AIABmAGkAbgBkACAAdABoAGUAIABoAGkAZwBoAGUAcwB0ACAAcwBjAGEAbABhAHIAIABxAHUAbwB0AGkAZQBuAHQAIABsAGkAbQBiACAAcQAgACgAMAAgADwAPQAgAHEAIAA8ACAAMQAwAF4AawApAFwAbgCgACoAIABzAHUAYwBoACAAdABoAGEAdAAgAEIAIAAqACAAcQAgADwAPQAgAGwAaQBtAGIAcwBfAHIALgAgAEUAbABpAG0AaQBuAGEAdABlAHMAIAB0AGgAZQAgAG4AZQBlAGQAIABmAG8AcgAgAEsAbgB1AHQAaAAgAEQAIABmAGwAbwBhAHQALQBlAHMAdABpAG0AYQB0AGkAbwBuAC4AXABuAKAAKgAgAEAAcABhAHIAYQBtACAAbABpAG0AYgBzAF8AcgAgAFQAaABlACAAYwB1AHIAcgBlAG4AdAAgAHIAZQBtAGEAaQBuAGQAZQByACAAYQByAHIAYQB5AC4AXABuAKAAKgAgAEAAcABhAHIAYQBtACAAYgAgAFQAaABlACAAZABpAHYAaQBzAG8AcgAgAGEAcgByAGEAeQAuAFwAbgCgACoAIABAAHAAYQByAGEAbQAgAGsAIABUAGgAZQAgAGQAeQBuAGEAbQBpAGMAIABjAGgAdQBuAGsAIABzAGkAegBlACAAYwBvAG4AdABlAHgAdAAuAFwAbgCgACoALwBcAG4ARgBpAG4AZABRAHUAbwB0AGkAZQBuAHQATABpAG0AYgAgAD0AIABMAEEATQBCAEQAQQAoAGwAaQBtAGIAcwBfAHIALAAgAGwAaQBtAGIAcwBfAGIALAAgAGsALABcAG4AIAAgACAAIABMAEUAVAAoAFwAbgAgACAAIAAgACAAIAAgACAAcgBlAHEAdQBpAHIAZQBkAF8AYgBpAHQAcwAsACAAQwBFAEkATABJAE4ARwAuAE0AQQBUAEgAKABMAE8ARwAoADEAMABeAGsALAAgADIAKQApACwAXABuACAAIAAgACAAIAAgACAAIABwAG8AdwBlAHIAcwBfAG8AZgBfAHQAdwBvACwAIAAyACAAXgAgAFMARQBRAFUARQBOAEMARQAoAHIAZQBxAHUAaQByAGUAZABfAGIAaQB0AHMALAAgADEALAAgAHIAZQBxAHUAaQByAGUAZABfAGIAaQB0AHMAIAAtACAAMQAsACAALQAxACkALABcAG4AIAAgACAAIAAgACAAIAAgAFwAbgAgACAAIAAgACAAIAAgACAAUgBFAEQAVQBDAEUAKAAwACwAIABwAG8AdwBlAHIAcwBfAG8AZgBfAHQAdwBvACwAIABMAEEATQBCAEQAQQAoAGMAdQByAHIAZQBuAHQAXwBxACwAIABjAHUAcgByAGUAbgB0AF8AcABvAHcAZQByACwAXABuACAAIAAgACAAIAAgACAAIAAgACAAIAAgAEwARQBUACgAXABuACAAIAAgACAAIAAgACAAIAAgACAAIAAgACAAIAAgACAAdABlAHMAdABfAHEALAAgAGMAdQByAHIAZQBuAHQAXwBxACAAKwAgAGMAdQByAHIAZQBuAHQAXwBwAG8AdwBlAHIALABcAG4AIAAgACAAIAAgACAAIAAgACAAIAAgACAAIAAgACAAIABcAG4AIAAgACAAIAAgACAAIAAgACAAIAAgACAAIAAgACAAIABJAEYAKAB0AGUAcwB0AF8AcQAgAD4APQAgADEAMABeAGsALAAgAFwAbgAgACAAIAAgACAAIAAgACAAIAAgACAAIAAgACAAIAAgACAAIAAgACAAYwB1AHIAcgBlAG4AdABfAHEALABcAG4AIAAgACAAIAAgACAAIAAgACAAIAAgACAAIAAgACAAIAAgACAAIAAgAEwARQBUACgAXABuACAAIAAgACAAIAAgACAAIAAgACAAIAAgACAAIAAgACAAIAAgACAAIAAgACAAIAAgAGwAaQBtAGIAcwBfAGIAcQAsACAAQwBhAHIAcgB5ACgAbABpAG0AYgBzAF8AYgAgACoAIAB0AGUAcwB0AF8AcQAsACAAawApACwAXABuACAAIAAgACAAIAAgACAAIAAgACAAIAAgACAAIAAgACAAIAAgACAAIAAgACAAIAAgAG0AYQBnAG4AaQB0AHUAZABlAF8AYwBvAG0AcABhAHIAaQBzAG8AbgAsACAAVQBDAG8AbQBwAGEAcgBlACgAbABpAG0AYgBzAF8AcgAsACAAbABpAG0AYgBzAF8AYgBxACkALABcAG4AIAAgACAAIAAgACAAIAAgACAAIAAgACAAIAAgACAAIAAgACAAIAAgACAAIAAgACAAXABuACAAIAAgACAAIAAgACAAIAAgACAAIAAgACAAIAAgACAAIAAgACAAIAAgACAAIAAgAEkARgAoAG0AYQBnAG4AaQB0AHUAZABlAF8AYwBvAG0AcABhAHIAaQBzAG8AbgAgAD4APQAgADAALAAgAHQAZQBzAHQAXwBxACwAIABjAHUAcgByAGUAbgB0AF8AcQApAFwAbgAgACAAIAAgACAAIAAgACAAIAAgACAAIAAgACAAIAAgACAAIAAgACAAKQBcAG4AIAAgACAAIAAgACAAIAAgACAAIAAgACAAIAAgACAAIAApAFwAbgAgACAAIAAgACAAIAAgACAAIAAgACAAIAApAFwAbgAgACAAIAAgACAAIAAgACAAKQApAFwAbgAgACAAIAAgACkAXABuACkAOwBcAG4AXABuAC8AKgAqAFwAbgCgACoAIABbAEkAbgB0AGUAcgBuAGEAbABdACAAQgBhAHMAZQBjAGEAcwBlACAARABpAHYAaQBzAGkAbwBuACAAdgBpAGEAIABzAGUAcQB1AGUAbgB0AGkAYQBsACAAcwBoAGkAZgB0AC0AYQBuAGQALQBzAHUAYgB0AHIAYQBjAHQALgBcAG4AoAAqACAAUgBlAHQAdQByAG4AcwAgAGEAIABwAGEAYwBrAGUAZAAgADEARAAgAGEAcgByAGEAeQA6ACAAVgBTAFQAQQBDAEsAKABMAGUAbgBnAHQAaABfAFIALAAgAFIAXwBsAGkAbQBiAHMALAAgAFEAXwBsAGkAbQBiAHMAKQAuAFwAbgCgACoAIABFAGwAaQBtAGkAbgBhAHQAZQBzACAAMgBEACAAYQByAHIAYQB5ACAAcABhAGQAZABpAG4AZwAgAHQAbwAgAHMAdAByAGkAYwB0AGwAeQAgAHAAcgBlAHMAZQByAHYAZQAgAG0AZQBtAG8AcgB5ACAAZQBmAGYAaQBjAGkAZQBuAGMAeQAuAFwAbgCgACoAIABAAHAAYQByAGEAbQAgAGwAaQBtAGIAcwBfAGEAIABUAGgAZQAgAGQAaQB2AGkAZABlAG4AZAAgAGEAcgByAGEAeQAuAFwAbgCgACoAIABAAHAAYQByAGEAbQAgAGwAaQBtAGIAcwBfAGIAIABUAGgAZQAgAGQAaQB2AGkAcwBvAHIAIABhAHIAcgBhAHkAIAAoAGEAcwBzAHUAbQBlAGQAIABuAG8AbgAtAHoAZQByAG8AKQAuAFwAbgCgACoAIABAAHAAYQByAGEAbQAgAGsAIABUAGgAZQAgAGQAeQBuAGEAbQBpAGMAIABjAGgAdQBuAGsAIABzAGkAegBlACAAYwBvAG4AdABlAHgAdAAuAFwAbgCgACoALwBcAG4ASwBuAHUAdABoAEQAaQB2ACAAPQAgAEwAQQBNAEIARABBACgAbABpAG0AYgBzAF8AYQAsACAAbABpAG0AYgBzAF8AYgAsACAAawAsAFwAbgAgACAAIAAgAEwARQBUACgAXABuACAAIAAgACAAIAAgACAAIABtAGEAZwBuAGkAdAB1AGQAZQBfAGMAbwBtAHAAYQByAGkAcwBvAG4ALAAgAFUAQwBvAG0AcABhAHIAZQAoAGwAaQBtAGIAcwBfAGEALAAgAGwAaQBtAGIAcwBfAGIAKQAsAFwAbgAgACAAIAAgACAAIAAgACAAXABuACAAIAAgACAAIAAgACAAIABJAEYAKABtAGEAZwBuAGkAdAB1AGQAZQBfAGMAbwBtAHAAYQByAGkAcwBvAG4AIAA8ACAAMAAsACAAVgBTAFQAQQBDAEsAKABSAE8AVwBTACgAbABpAG0AYgBzAF8AYQApACwAIABsAGkAbQBiAHMAXwBhACwAIAAwACkALABcAG4AIAAgACAAIAAgACAAIAAgAEkARgAoAG0AYQBnAG4AaQB0AHUAZABlAF8AYwBvAG0AcABhAHIAaQBzAG8AbgAgAD0AIAAwACwAIABWAFMAVABBAEMASwAoADEALAAgADAALAAgADEAKQAsAFwAbgAgACAAIAAgACAAIAAgACAAIAAgACAAIABMAEUAVAAoAFwAbgAgACAAIAAgACAAIAAgACAAIAAgACAAIAAgACAAIAAgAG4AdQBtAF8AbABpAG0AYgBzAF8AYQAsACAAUgBPAFcAUwAoAGwAaQBtAGIAcwBfAGEAKQAsAFwAbgAgACAAIAAgACAAIAAgACAAIAAgACAAIAAgACAAIAAgAGIAaQBnAF8AZQBuAGQAaQBhAG4AXwBhACwAIABDAEgATwBPAFMARQBSAE8AVwBTACgAbABpAG0AYgBzAF8AYQAsACAAUwBFAFEAVQBFAE4AQwBFACgAbgB1AG0AXwBsAGkAbQBiAHMAXwBhACwAIAAxACwAIABuAHUAbQBfAGwAaQBtAGIAcwBfAGEALAAgAC0AMQApACkALABcAG4AIAAgACAAIAAgACAAIAAgACAAIAAgACAAIAAgACAAIABcAG4AIAAgACAAIAAgACAAIAAgACAAIAAgACAAIAAgACAAIABmAGkAbgBhAGwAXwBwAGEAYwBrAGUAZABfAHMAdABhAHQAZQAsACAAUgBFAEQAVQBDAEUAKABWAFMAVABBAEMASwAoADEALAAgADAALAAgADAAKQAsACAAYgBpAGcAXwBlAG4AZABpAGEAbgBfAGEALAAgAEwAQQBNAEIARABBACgAcABhAGMAawBlAGQAXwBzAHQAYQB0AGUALAAgAHYAYQBsACwAXABuACAAIAAgACAAIAAgACAAIAAgACAAIAAgACAAIAAgACAAIAAgACAAIABMAEUAVAAoAFwAbgAgACAAIAAgACAAIAAgACAAIAAgACAAIAAgACAAIAAgACAAIAAgACAAIAAgACAAIABuAHUAbQBfAGwAaQBtAGIAcwBfAHIALAAgAEkATgBEAEUAWAAoAHAAYQBjAGsAZQBkAF8AcwB0AGEAdABlACwAIAAxACwAIAAxACkALABcAG4AIAAgACAAIAAgACAAIAAgACAAIAAgACAAIAAgACAAIAAgACAAIAAgACAAIAAgACAAbABpAG0AYgBzAF8AcgAsACAAQwBIAE8ATwBTAEUAUgBPAFcAUwAoAHAAYQBjAGsAZQBkAF8AcwB0AGEAdABlACwAIABTAEUAUQBVAEUATgBDAEUAKABuAHUAbQBfAGwAaQBtAGIAcwBfAHIALAAgADEALAAgADIAKQApACwAXABuACAAIAAgACAAIAAgACAAIAAgACAAIAAgACAAIAAgACAAIAAgACAAIAAgACAAIAAgAGwAaQBtAGIAcwBfAHEALAAgAEQAUgBPAFAAKABwAGEAYwBrAGUAZABfAHMAdABhAHQAZQAsACAAbgB1AG0AXwBsAGkAbQBiAHMAXwByACAAKwAgADEAKQAsAFwAbgAgACAAIAAgACAAIAAgACAAIAAgACAAIAAgACAAIAAgACAAIAAgACAAIAAgACAAIABcAG4AIAAgACAAIAAgACAAIAAgACAAIAAgACAAIAAgACAAIAAgACAAIAAgACAAIAAgACAAbABpAG0AYgBzAF8AcwBoAGkAZgB0AGUAZABfAHIALAAgAEkARgAoAEEATgBEACgAUgBPAFcAUwAoAGwAaQBtAGIAcwBfAHIAKQAgAD0AIAAxACwAIABJAE4ARABFAFgAKABsAGkAbQBiAHMAXwByACwAIAAxACwAIAAxACkAIAA9ACAAMAApACwAIABcAG4AIAAgACAAIAAgACAAIAAgACAAIAAgACAAIAAgACAAIAAgACAAIAAgACAAIAAgACAAIAAgACAAIAB2AGEAbAAsACAAXABuACAAIAAgACAAIAAgACAAIAAgACAAIAAgACAAIAAgACAAIAAgACAAIAAgACAAIAAgACAAIAAgACAAVgBTAFQAQQBDAEsAKAB2AGEAbAAsACAAbABpAG0AYgBzAF8AcgApAFwAbgAgACAAIAAgACAAIAAgACAAIAAgACAAIAAgACAAIAAgACAAIAAgACAAIAAgACAAIAApACwAXABuACAAIAAgACAAIAAgACAAIAAgACAAIAAgACAAIAAgACAAIAAgACAAIAAgACAAIAAgAFwAbgAgACAAIAAgACAAIAAgACAAIAAgACAAIAAgACAAIAAgACAAIAAgACAAIAAgACAAIABxAF8AbABpAG0AYgAsACAARgBpAG4AZABRAHUAbwB0AGkAZQBuAHQATABpAG0AYgAoAGwAaQBtAGIAcwBfAHMAaABpAGYAdABlAGQAXwByACwAIABsAGkAbQBiAHMAXwBiACwAIABrACkALABcAG4AIAAgACAAIAAgACAAIAAgACAAIAAgACAAIAAgACAAIAAgACAAIAAgACAAIAAgACAAbABpAG0AYgBzAF8AYgBxACwAIABDAGEAcgByAHkAKABsAGkAbQBiAHMAXwBiACAAKgAgAHEAXwBsAGkAbQBiACwAIABrACkALABcAG4AIAAgACAAIAAgACAAIAAgACAAIAAgACAAIAAgACAAIAAgACAAIAAgACAAIAAgACAAbABpAG0AYgBzAF8AbgBlAHgAdABfAHIALAAgAFUAUwB1AGIAKABsAGkAbQBiAHMAXwBzAGgAaQBmAHQAZQBkAF8AcgAsACAAbABpAG0AYgBzAF8AYgBxACwAIABrACkALABcAG4AIAAgACAAIAAgACAAIAAgACAAIAAgACAAIAAgACAAIAAgACAAIAAgACAAIAAgACAAaABhAHMAXwBxACwAIABPAFIAKABSAE8AVwBTACgAbABpAG0AYgBzAF8AcQApACAAPgAgADEALAAgAEkATgBEAEUAWAAoAGwAaQBtAGIAcwBfAHEALAAxACwAMQApACAAPgAgADAAKQAsAFwAbgAgACAAIAAgACAAIAAgACAAIAAgACAAIAAgACAAIAAgACAAIAAgACAAIAAgACAAIABcAG4AIAAgACAAIAAgACAAIAAgACAAIAAgACAAIAAgACAAIAAgACAAIAAgACAAIAAgACAAbABpAG0AYgBzAF8AbgBlAHgAdABfAHEALAAgAEkARgAoAGgAYQBzAF8AcQAsACAAVgBTAFQAQQBDAEsAKABsAGkAbQBiAHMAXwBxACwAIABxAF8AbABpAG0AYgApACwAIABxAF8AbABpAG0AYgApACwAXABuACAAIAAgACAAIAAgACAAIAAgACAAIAAgACAAIAAgACAAIAAgACAAIAAgACAAIAAgAFwAbgAgACAAIAAgACAAIAAgACAAIAAgACAAIAAgACAAIAAgACAAIAAgACAAIAAgACAAIABWAFMAVABBAEMASwAoAFIATwBXAFMAKABsAGkAbQBiAHMAXwBuAGUAeAB0AF8AcgApACwAIABsAGkAbQBiAHMAXwBuAGUAeAB0AF8AcgAsACAAbABpAG0AYgBzAF8AbgBlAHgAdABfAHEAKQBcAG4AIAAgACAAIAAgACAAIAAgACAAIAAgACAAIAAgACAAIAAgACAAIAAgACkAXABuACAAIAAgACAAIAAgACAAIAAgACAAIAAgACAAIAAgACAAKQApACwAXABuACAAIAAgACAAIAAgACAAIAAgACAAIAAgACAAIAAgACAAXABuACAAIAAgACAAIAAgACAAIAAgACAAIAAgACAAIAAgACAAbgB1AG0AXwBsAGkAbQBiAHMAXwByACwAIABJAE4ARABFAFgAKABmAGkAbgBhAGwAXwBwAGEAYwBrAGUAZABfAHMAdABhAHQAZQAsACAAMQAsACAAMQApACwAXABuACAAIAAgACAAIAAgACAAIAAgACAAIAAgACAAIAAgACAAbABpAG0AYgBzAF8AcgAsACAAQwBIAE8ATwBTAEUAUgBPAFcAUwAoAGYAaQBuAGEAbABfAHAAYQBjAGsAZQBkAF8AcwB0AGEAdABlACwAIABTAEUAUQBVAEUATgBDAEUAKABuAHUAbQBfAGwAaQBtAGIAcwBfAHIALAAgADEALAAgADIAKQApACwAXABuACAAIAAgACAAIAAgACAAIAAgACAAIAAgACAAIAAgACAAYgBpAGcAXwBlAG4AZABpAGEAbgBfAHEALAAgAEQAUgBPAFAAKABmAGkAbgBhAGwAXwBwAGEAYwBrAGUAZABfAHMAdABhAHQAZQAsACAAbgB1AG0AXwBsAGkAbQBiAHMAXwByACAAKwAgADEAKQAsAFwAbgAgACAAIAAgACAAIAAgACAAIAAgACAAIAAgACAAIAAgAFwAbgAgACAAIAAgACAAIAAgACAAIAAgACAAIAAgACAAIAAgAGwAZQBuAF8AcQAsACAAUgBPAFcAUwAoAGIAaQBnAF8AZQBuAGQAaQBhAG4AXwBxACkALABcAG4AIAAgACAAIAAgACAAIAAgACAAIAAgACAAIAAgACAAIABsAGkAbQBiAHMAXwBxACwAIABDAEgATwBPAFMARQBSAE8AVwBTACgAYgBpAGcAXwBlAG4AZABpAGEAbgBfAHEALAAgAFMARQBRAFUARQBOAEMARQAoAGwAZQBuAF8AcQAsACAAMQAsACAAbABlAG4AXwBxACwAIAAtADEAKQApACwAXABuACAAIAAgACAAIAAgACAAIAAgACAAIAAgACAAIAAgACAAXABuACAAIAAgACAAIAAgACAAIAAgACAAIAAgACAAIAAgACAAVgBTAFQAQQBDAEsAKABuAHUAbQBfAGwAaQBtAGIAcwBfAHIALAAgAGwAaQBtAGIAcwBfAHIALAAgAGwAaQBtAGIAcwBfAHEAKQBcAG4AIAAgACAAIAAgACAAIAAgACAAIAAgACAAKQBcAG4AIAAgACAAIAAgACAAIAAgACkAKQBcAG4AIAAgACAAIAApAFwAbgApADsAXABuAFwAbgAvACoAKgBcAG4AoAAqACAAWwBJAG4AdABlAHIAbgBhAGwAXQAgAEgAeQBiAHIAaQBkACAARABpAHYAaQBzAGkAbwBuACAAUgBvAHUAdABlAHIALgBcAG4AoAAqACAARABpAHIAZQBjAHQAcwAgAGQAaQB2AGkAcwBpAG8AbgAgAHQAbwAgAHQAaABlACAAbwBwAHQAaQBtAGEAbAAgAGsAZQByAG4AZQBsACAAYgBhAHMAZQBkACAAbwBuACAARABpAHYAaQBkAGUAbgBkACAAbABlAG4AZwB0AGgALgBcAG4AoAAqACAAQABwAGEAcgBhAG0AIABsAGkAbQBiAHMAXwBhACAAVABoAGUAIABkAGkAdgBpAGQAZQBuAGQAIABhAHIAcgBhAHkALgBcAG4AoAAqACAAQABwAGEAcgBhAG0AIABsAGkAbQBiAHMAXwBiACAAVABoAGUAIABkAGkAdgBpAHMAbwByACAAYQByAHIAYQB5AC4AXABuAKAAKgAgAEAAcABhAHIAYQBtACAAawAgAFQAaABlACAAZAB5AG4AYQBtAGkAYwAgAGMAaAB1AG4AawAgAHMAaQB6AGUAIABjAG8AbgB0AGUAeAB0AC4AXABuAKAAKgAvAFwAbgBEAGkAdgBSAG8AdQB0AGUAcgAgAD0AIABMAEEATQBCAEQAQQAoAGwAaQBtAGIAcwBfAGEALAAgAGwAaQBtAGIAcwBfAGIALAAgAGsALABcAG4AIAAgACAAIABMAEUAVAAoAFwAbgAgACAAIAAgACAAIAAgACAAYQBwAHAAcgBvAHgAXwBkAGkAZwBpAHQAcwBfAGEALAAgAFIATwBXAFMAKABsAGkAbQBiAHMAXwBhACkAIAAqACAAawAsAFwAbgAgACAAIAAgACAAIAAgACAAYQBwAHAAcgBvAHgAXwBkAGkAZwBpAHQAcwBfAGIALAAgAFIATwBXAFMAKABsAGkAbQBiAHMAXwBiACkAIAAqACAAawAsAFwAbgAgACAAIAAgACAAIAAgACAAXABuACAAIAAgACAAIAAgACAAIAAvAC8AIABMAG8AZwBpAHMAdABpAGMAIABSAGUAZwByAGUAcwBzAGkAbwBuACAAYwBvAGUAZgBmAGkAYwBpAGUAbgB0AHMAXABuACAAIAAgACAAIAAgACAAIAByAGUAZwByAGUAcwBzAGkAbwBuAF8AcwBsAG8AcABlAF8AbQAsACAAMAAuADEAMAA3ADgAMgAxADEAOQA0ADIANwAxADIAOQA3ACwAXABuACAAIAAgACAAIAAgACAAIAByAGUAZwByAGUAcwBzAGkAbwBuAF8AaQBuAHQAZQByAGMAZQBwAHQAXwBjACwAIAAtADIAMgAxAC4AOQAwADIAMQA4ADkANAA2ADIAMAA2ADgALABcAG4AIAAgACAAIAAgACAAIAAgAHQAaAByAGUAcwBoAG8AbABkAF8AZABpAGcAaQB0AHMALAAgACgAcgBlAGcAcgBlAHMAcwBpAG8AbgBfAHMAbABvAHAAZQBfAG0AIAAqACAAYQBwAHAAcgBvAHgAXwBkAGkAZwBpAHQAcwBfAGEAKQAgACsAIAByAGUAZwByAGUAcwBzAGkAbwBuAF8AaQBuAHQAZQByAGMAZQBwAHQAXwBjACwAXABuACAAIAAgACAAIAAgACAAIABcAG4AIAAgACAAIAAgACAAIAAgAEkARgAoAGEAcABwAHIAbwB4AF8AZABpAGcAaQB0AHMAXwBiACAAPAA9ACAAdABoAHIAZQBzAGgAbwBsAGQAXwBkAGkAZwBpAHQAcwAsAFwAbgAgACAAIAAgACAAIAAgACAAIAAgACAAIABLAG4AdQB0AGgARABpAHYAKABsAGkAbQBiAHMAXwBhACwAIABsAGkAbQBiAHMAXwBiACwAIABrACkALABcAG4AIAAgACAAIAAgACAAIAAgACAAIAAgACAATgBlAHcAdABvAG4AUgBhAHAAaABzAG8AbgBEAGkAdgAoAGwAaQBtAGIAcwBfAGEALAAgAGwAaQBtAGIAcwBfAGIALAAgAGsAKQBcAG4AIAAgACAAIAAgACAAIAAgACkAXABuACAAIAAgACAAKQBcAG4AKQA7AFwAbgBcAG4ALwAqACoAXABuACAAKgAgAFsASQBuAHQAZQByAG4AYQBsAF0AIABHAGUAbgBlAHIAYQB0AGUAcwAgAHQAaABlACAAZQB4AGEAYwB0ACAAcgBlAGMAaQBwAHIAbwBjAGEAbAAgAHMAZQBlAGQAIABmAG8AcgAgAE4AZQB3AHQAbwBuAC0AUgBhAHAAaABzAG8AbgAgAEQAaQB2AGkAcwBpAG8AbgAgAHUAcwBpAG4AZwAgAEsAbgB1AHQAaAAgAEIAYQBzAGUAYwBhAHMAZQAuAFwAbgAgACoAIABFAHgAdAByAGEAYwB0AHMAIAB1AHAAIAB0AG8AIAB0AGgAZQAgAHQAbwBwACAAMwAgAGwAaQBtAGIAcwAgAG8AZgAgAEIAIABhAG4AZAAgAGMAYQBsAGMAdQBsAGEAdABlAHMAIABmAGwAbwBvAHIAKABCAGUAdABhAF4AKAAyACoAbABlAG4AKQAgAC8AIABCAF8AdABvAHAAKQAuAFwAbgAgACoAIABAAHAAYQByAGEAbQAgAGwAaQBtAGIAcwBfAGIAIABUAGgAZQAgAGQAaQB2AGkAcwBvAHIAIABsAGkAbQBiACAAYQByAHIAYQB5AC4AXABuACAAKgAgAEAAcABhAHIAYQBtACAAawAgAFQAaABlACAAZAB5AG4AYQBtAGkAYwAgAGMAaAB1AG4AawAgAHMAaQB6AGUAIABjAG8AbgB0AGUAeAB0AC4AXABuACAAKgAvAFwAbgBOAGUAdwB0AG8AbgBSAGEAcABoAHMAbwBuAFMAZQBlAGQAIAA9ACAATABBAE0AQgBEAEEAKABsAGkAbQBiAHMAXwBiACwAIABrACwAXABuACAAIAAgACAATABFAFQAKABcAG4AIAAgACAAIAAgACAAIAAgAG4AdQBtAF8AbABpAG0AYgBzAF8AYgAsACAAUgBPAFcAUwAoAGwAaQBtAGIAcwBfAGIAKQAsAFwAbgAgACAAIAAgACAAIAAgACAAbgB1AG0AXwBzAGUAZQBkAF8AbABpAG0AYgBzACwAIABNAEkATgAoADMALAAgAG4AdQBtAF8AbABpAG0AYgBzAF8AYgApACwAXABuACAAIAAgACAAIAAgACAAIABcAG4AIAAgACAAIAAgACAAIAAgAC8ALwAgAEUAeAB0AHIAYQBjAHQAIAB0AG8AcAAgACcAcwBlAGUAZABfAGwAZQBuACcAIABsAGkAbQBiAHMAIAAoAEwAaQB0AHQAbABlAC0ARQBuAGQAaQBhAG4AOgAgAHQAYQBrAGUAIABmAHIAbwBtACAAdABoAGUAIABiAG8AdAB0AG8AbQApAFwAbgAgACAAIAAgACAAIAAgACAAbABpAG0AYgBzAF8AYgBfAHQAbwBwACwAIABUAEEASwBFACgAbABpAG0AYgBzAF8AYgAsACAALQBuAHUAbQBfAHMAZQBlAGQAXwBsAGkAbQBiAHMAKQAsAFwAbgAgACAAIAAgACAAIAAgACAAXABuACAAIAAgACAAIAAgACAAIAAvAC8AIABDAG8AbgBzAHQAcgB1AGMAdAAgAEIAZQB0AGEAXgAoADIAIAAqACAAcwBlAGUAZABfAGwAZQBuACkAIABuAGEAdABpAHYAZQBsAHkAXABuACAAIAAgACAAIAAgACAAIAAvAC8AIABlAC4AZwAuACwAIABpAGYAIABzAGUAZQBkAF8AbABlAG4AIAA9ACAAMQAsACAAdABoAGUAbgAgADEAIABmAG8AbABsAG8AdwBlAGQAIABiAHkAIAB0AHcAbwAgAHoAZQByAG8AIABsAGkAbQBiAHMAOgAgAFYAUwBUAEEAQwBLACgAMAAsACAAMAAsACAAMQApAFwAbgAgACAAIAAgACAAIAAgACAAbABpAG0AYgBzAF8AYgBlAHQAYQBfADIAbQAsACAAVgBTAFQAQQBDAEsAKABFAFgAUABBAE4ARAAoADAALAAgADIAIAAqACAAbgB1AG0AXwBzAGUAZQBkAF8AbABpAG0AYgBzACwAIAAsACAAMAApACwAIAAxACkALABcAG4AIAAgACAAIAAgACAAIAAgAFwAbgAgACAAIAAgACAAIAAgACAALwAvACAASwBuAHUAdABoACAARABpAHYAaQBzAGkAbwBuACAAeQBpAGUAbABkAHMAIABlAHgAYQBjAHQAIABpAG4AaQB0AGkAYQBsACAAcgBlAGMAaQBwAHIAbwBjAGEAbABcAG4AIAAgACAAIAAgACAAIAAgAHAAYQBjAGsAZQBkAF8AYgBhAHMAZQBjAGEAcwBlAF8AcgBlAHMAdQBsAHQALAAgAEsAbgB1AHQAaABEAGkAdgAoAGwAaQBtAGIAcwBfAGIAZQB0AGEAXwAyAG0ALAAgAGwAaQBtAGIAcwBfAGIAXwB0AG8AcAAsACAAawApACwAXABuACAAIAAgACAAIAAgACAAIABcAG4AIAAgACAAIAAgACAAIAAgAC8ALwAgAEUAeAB0AHIAYQBjAHQAIABRAHUAbwB0AGkAZQBuAHQAIABhAHIAcgBhAHkAIABmAHIAbwBtACAAdABoAGUAIABwAGEAYwBrAGUAZAAgAFYAUwBUAEEAQwBLAFwAbgAgACAAIAAgACAAIAAgACAAbgB1AG0AXwBsAGkAbQBiAHMAXwByACwAIABJAE4ARABFAFgAKABwAGEAYwBrAGUAZABfAGIAYQBzAGUAYwBhAHMAZQBfAHIAZQBzAHUAbAB0ACwAIAAxACwAIAAxACkALABcAG4AIAAgACAAIAAgACAAIAAgAEQAUgBPAFAAKABwAGEAYwBrAGUAZABfAGIAYQBzAGUAYwBhAHMAZQBfAHIAZQBzAHUAbAB0ACwAIABuAHUAbQBfAGwAaQBtAGIAcwBfAHIAIAArACAAMQApAFwAbgAgACAAIAAgACkAXABuACkAOwBcAG4AXABuAC8AKgAqAFwAbgAgACoAIABbAEkAbgB0AGUAcgBuAGEAbABdACAAQwBvAG0AcAB1AHQAZQBzACAAdABoAGUAIABSAGUAYwBpAHAAcgBvAGMAYQBsACAAcAByAG8AZwByAGUAcwBzAGkAdgBlAGwAeQAgAHMAYwBhAGwAaQBuAGcAIAB1AHAAIAB0AG8AIAB0AGgAZQAgAEQAaQB2AGkAZABlAG4AZAAnAHMAIABwAHIAZQBjAGkAcwBpAG8AbgAuAFwAbgAgACoAIABAAHAAYQByAGEAbQAgAGwAaQBtAGIAcwBfAGIAIABUAGgAZQAgAGQAaQB2AGkAcwBvAHIAIABsAGkAbQBiACAAYQByAHIAYQB5AC4AXABuACAAKgAgAEAAcABhAHIAYQBtACAAdABhAHIAZwBlAHQAXwBsAGUAbgAgAFQAaABlACAAbABpAG0AYgAtAGwAZQBuAGcAdABoACAAbwBmACAARABpAHYAaQBkAGUAbgBkACAAQQAuAFwAbgAgACoAIABAAHAAYQByAGEAbQAgAGsAIABUAGgAZQAgAGQAeQBuAGEAbQBpAGMAIABjAGgAdQBuAGsAIABzAGkAegBlACAAYwBvAG4AdABlAHgAdAAuAFwAbgAgACoALwBcAG4ATgBlAHcAdABvAG4AUgBhAHAAaABzAG8AbgBSAGUAYwBpAHAAcgBvAGMAYQBsACAAPQAgAEwAQQBNAEIARABBACgAbABpAG0AYgBzAF8AYgAsACAAdABhAHIAZwBlAHQAXwBsAGUAbgAsACAAawAsAFwAbgAgACAAIAAgAEwARQBUACgAXABuACAAIAAgACAAIAAgACAAIABuAHUAbQBfAGwAaQBtAGIAcwBfAGIALAAgAFIATwBXAFMAKABsAGkAbQBiAHMAXwBiACkALABcAG4AIAAgACAAIAAgACAAIAAgAG4AdQBtAF8AcwBlAGUAZABfAGwAaQBtAGIAcwAsACAATQBJAE4AKAAzACwAIABuAHUAbQBfAGwAaQBtAGIAcwBfAGIAKQAsAFwAbgAgACAAIAAgACAAIAAgACAAbABpAG0AYgBzAF8AcgBfAHMAZQBlAGQALAAgAGMAbwByAGUAXwBCAGkAZwBJAG4AdAAuAE4AZQB3AHQAbwBuAFIAYQBwAGgAcwBvAG4AUwBlAGUAZAAoAGwAaQBtAGIAcwBfAGIALAAgAGsAKQAsAFwAbgBcAG4AIAAgACAAIAAgACAAIAAgAHIAZQBxAHUAaQByAGUAZABfAGkAdABlAHIAYQB0AGkAbwBuAHMALAAgAE0AQQBYACgAMAAsACAAQwBFAEkATABJAE4ARwAuAE0AQQBUAEgAKABMAE4AKAB0AGEAcgBnAGUAdABfAGwAZQBuACAALwAgAG4AdQBtAF8AcwBlAGUAZABfAGwAaQBtAGIAcwApACAALwAgAEwATgAoADIAKQApACkAIAArACAAMQAsAFwAbgBcAG4AIAAgACAAIAAgACAAIAAgAEkARgAoAHIAZQBxAHUAaQByAGUAZABfAGkAdABlAHIAYQB0AGkAbwBuAHMAIAA9ACAAMAAsACAAbABpAG0AYgBzAF8AcgBfAHMAZQBlAGQALABcAG4AIAAgACAAIAAgACAAIAAgACAAIAAgACAATABFAFQAKABcAG4AIAAgACAAIAAgACAAIAAgACAAIAAgACAAIAAgACAAIABpAHQAZQByAGEAdABpAG8AbgBzACwAIABTAEUAUQBVAEUATgBDAEUAKAByAGUAcQB1AGkAcgBlAGQAXwBpAHQAZQByAGEAdABpAG8AbgBzACkALABcAG4AIAAgACAAIAAgACAAIAAgACAAIAAgACAAIAAgACAAIABmAGkAbgBhAGwAXwBwAGEAYwBrAGUAZABfAHMAdABhAHQAZQAsACAAUgBFAEQAVQBDAEUAKABWAFMAVABBAEMASwAoAG4AdQBtAF8AcwBlAGUAZABfAGwAaQBtAGIAcwAsACAAbABpAG0AYgBzAF8AcgBfAHMAZQBlAGQAKQAsACAAaQB0AGUAcgBhAHQAaQBvAG4AcwAsACAATABBAE0AQgBEAEEAKABwAGEAYwBrAGUAZABfAHMAdABhAHQAZQAsACAAaQAsAFwAbgAgACAAIAAgACAAIAAgACAAIAAgACAAIAAgACAAIAAgACAAIAAgACAATABFAFQAKABcAG4AIAAgACAAIAAgACAAIAAgACAAIAAgACAAIAAgACAAIAAgACAAIAAgACAAIAAgACAAYwB1AHIAcgBlAG4AdABfAGwAZQBuACwAIABJAE4ARABFAFgAKABwAGEAYwBrAGUAZABfAHMAdABhAHQAZQAsACAAMQAsACAAMQApACwAXABuACAAIAAgACAAIAAgACAAIAAgACAAIAAgACAAIAAgACAAIAAgACAAIAAgACAAIAAgAGwAaQBtAGIAcwBfAGMAdQByAHIAZQBuAHQAXwByACwAIABEAFIATwBQACgAcABhAGMAawBlAGQAXwBzAHQAYQB0AGUALAAgADEAKQAsAFwAbgBcAG4AIAAgACAAIAAgACAAIAAgACAAIAAgACAAIAAgACAAIAAgACAAIAAgACAAIAAgACAAbgBlAHgAdABfAGwAZQBuACwAIABNAEkATgAoAGMAdQByAHIAZQBuAHQAXwBsAGUAbgAgACoAIAAyACwAIAB0AGEAcgBnAGUAdABfAGwAZQBuACkALABcAG4AIAAgACAAIAAgACAAIAAgACAAIAAgACAAIAAgACAAIAAgACAAIAAgACAAIAAgACAAXABuACAAIAAgACAAIAAgACAAIAAgACAAIAAgACAAIAAgACAAIAAgACAAIAAgACAAIAAgAC8ALwAgAEQAeQBuAGEAbQBpAGMAIABTAGMAYQBsAGkAbgBnACAAUwBoAGkAZgB0ADoAXABuACAAIAAgACAAIAAgACAAIAAgACAAIAAgACAAIAAgACAAIAAgACAAIAAgACAAIAAgAC8ALwAgAEkAZgAgAEIAIABoAGEAcwAgAHAAbABhAHQAZQBhAHUAZQBkACwAIABSACAAbQB1AHMAdAAgAHMAYwBhAGwAZQAgAGIAeQAgADIAKgAoAG4ALQBtACkALgAgAEkAZgAgAEIAIABpAHMAIABnAHIAbwB3AGkAbgBnACwAIABSACAAcwBjAGEAbABlAHMAIABiAHkAIAAoAG4ALQBtACkALgBcAG4AIAAgACAAIAAgACAAIAAgACAAIAAgACAAIAAgACAAIAAgACAAIAAgACAAIAAgACAAYQBjAHQAaQB2AGUAXwBiAF8AbABpAG0AYgBzAF8AYwB1AHIAcgBlAG4AdAAsACAATQBJAE4AKABjAHUAcgByAGUAbgB0AF8AbABlAG4ALAAgAG4AdQBtAF8AbABpAG0AYgBzAF8AYgApACwAXABuACAAIAAgACAAIAAgACAAIAAgACAAIAAgACAAIAAgACAAIAAgACAAIAAgACAAIAAgAGEAYwB0AGkAdgBlAF8AYgBfAGwAaQBtAGIAcwBfAG4AZQB4AHQALAAgAE0ASQBOACgAbgBlAHgAdABfAGwAZQBuACwAIABuAHUAbQBfAGwAaQBtAGIAcwBfAGIAKQAsAFwAbgAgACAAIAAgACAAIAAgACAAIAAgACAAIAAgACAAIAAgACAAIAAgACAAIAAgACAAIAByAGUAcQB1AGkAcgBlAGQAXwBzAGgAaQBmAHQAXwBsAGkAbQBiAHMALAAgADIAIAAqACAAKABuAGUAeAB0AF8AbABlAG4AIAAtACAAYwB1AHIAcgBlAG4AdABfAGwAZQBuACkAIAAtACAAKABhAGMAdABpAHYAZQBfAGIAXwBsAGkAbQBiAHMAXwBuAGUAeAB0ACAALQAgAGEAYwB0AGkAdgBlAF8AYgBfAGwAaQBtAGIAcwBfAGMAdQByAHIAZQBuAHQAKQAsAFwAbgBcAG4AIAAgACAAIAAgACAAIAAgACAAIAAgACAAIAAgACAAIAAgACAAIAAgACAAIAAgACAAbABpAG0AYgBzAF8AcgBfAHAAcgBpAG0AZQAsACAASQBGACgAcgBlAHEAdQBpAHIAZQBkAF8AcwBoAGkAZgB0AF8AbABpAG0AYgBzACAAPgAgADAALABcAG4AIAAgACAAIAAgACAAIAAgACAAIAAgACAAIAAgACAAIAAgACAAIAAgACAAIAAgACAAIAAgACAAIABWAFMAVABBAEMASwAoAEUAWABQAEEATgBEACgAMAAsACAAcgBlAHEAdQBpAHIAZQBkAF8AcwBoAGkAZgB0AF8AbABpAG0AYgBzACwAIAAsACAAMAApACwAIABsAGkAbQBiAHMAXwBjAHUAcgByAGUAbgB0AF8AcgApACwAXABuACAAIAAgACAAIAAgACAAIAAgACAAIAAgACAAIAAgACAAIAAgACAAIAAgACAAIAAgACAAIAAgACAAbABpAG0AYgBzAF8AYwB1AHIAcgBlAG4AdABfAHIAXABuACAAIAAgACAAIAAgACAAIAAgACAAIAAgACAAIAAgACAAIAAgACAAIAAgACAAIAAgACkALABcAG4AXABuACAAIAAgACAAIAAgACAAIAAgACAAIAAgACAAIAAgACAAIAAgACAAIAAgACAAIAAgAGwAaQBtAGIAcwBfAGIAXwBhAGMAdABpAHYAZQAsACAAVABBAEsARQAoAGwAaQBtAGIAcwBfAGIALAAgAC0AYQBjAHQAaQB2AGUAXwBiAF8AbABpAG0AYgBzAF8AbgBlAHgAdAApACwAXABuAFwAbgAgACAAIAAgACAAIAAgACAAIAAgACAAIAAgACAAIAAgACAAIAAgACAAIAAgACAAIAAvAC8AIABQACAAaQBzACAAbgBhAHQAaQB2AGUAbAB5ACAAYQBsAGkAZwBuAGUAZAAgAHQAbwAgADIAKgBuAGUAeAB0AF8AbABlAG4AIABiAGUAYwBhAHUAcwBlACAAbwBmACAAdABoAGUAIABjAG8AcgByAGUAYwB0AGUAZAAgAHMAaABpAGYAdABfAGwAaQBtAGIAcwBcAG4AIAAgACAAIAAgACAAIAAgACAAIAAgACAAIAAgACAAIAAgACAAIAAgACAAIAAgACAAbABpAG0AYgBzAF8AcAAsACAAYwBvAHIAZQBfAEIAaQBnAEkAbgB0AC4AVQBNAHUAbAAoAGwAaQBtAGIAcwBfAGIAXwBhAGMAdABpAHYAZQAsACAAbABpAG0AYgBzAF8AcgBfAHAAcgBpAG0AZQAsACAAawApACwAXABuAFwAbgAgACAAIAAgACAAIAAgACAAIAAgACAAIAAgACAAIAAgACAAIAAgACAAIAAgACAAIABsAGkAbQBiAHMAXwB0AHcAbwBfAGIAZQB0AGEALAAgAFYAUwBUAEEAQwBLACgARQBYAFAAQQBOAEQAKAAwACwAIAAyACAAKgAgAG4AZQB4AHQAXwBsAGUAbgAsACAALAAgADAAKQAsACAAMgApACwAXABuACAAIAAgACAAIAAgACAAIAAgACAAIAAgACAAIAAgACAAIAAgACAAIAAgACAAIAAgAGwAaQBtAGIAcwBfAGUAcgByAG8AcgBfAHQAZQByAG0ALAAgAGMAbwByAGUAXwBCAGkAZwBJAG4AdAAuAFUAUwB1AGIAKABsAGkAbQBiAHMAXwB0AHcAbwBfAGIAZQB0AGEALAAgAGwAaQBtAGIAcwBfAHAALAAgAGsAKQAsAFwAbgBcAG4AIAAgACAAIAAgACAAIAAgACAAIAAgACAAIAAgACAAIAAgACAAIAAgACAAIAAgACAAbABpAG0AYgBzAF8AbgBlAHgAdABfAHIAXwB1AG4AcwBjAGEAbABlAGQALAAgAGMAbwByAGUAXwBCAGkAZwBJAG4AdAAuAFUATQB1AGwAKABsAGkAbQBiAHMAXwByAF8AcAByAGkAbQBlACwAIABsAGkAbQBiAHMAXwBlAHIAcgBvAHIAXwB0AGUAcgBtACwAIABrACkALABcAG4AIAAgACAAIAAgACAAIAAgACAAIAAgACAAIAAgACAAIAAgACAAIAAgACAAIAAgACAAbABpAG0AYgBzAF8AbgBlAHgAdABfAHIALAAgAEkARgAoAFIATwBXAFMAKABsAGkAbQBiAHMAXwBuAGUAeAB0AF8AcgBfAHUAbgBzAGMAYQBsAGUAZAApACAAPAA9ACAAMgAgACoAIABuAGUAeAB0AF8AbABlAG4ALABcAG4AIAAgACAAIAAgACAAIAAgACAAIAAgACAAIAAgACAAIAAgACAAIAAgACAAIAAgACAAIAAgACAAIAB7ADAAfQAsAFwAbgAgACAAIAAgACAAIAAgACAAIAAgACAAIAAgACAAIAAgACAAIAAgACAAIAAgACAAIAAgACAAIAAgAEQAUgBPAFAAKABsAGkAbQBiAHMAXwBuAGUAeAB0AF8AcgBfAHUAbgBzAGMAYQBsAGUAZAAsACAAMgAgACoAIABuAGUAeAB0AF8AbABlAG4AKQBcAG4AIAAgACAAIAAgACAAIAAgACAAIAAgACAAIAAgACAAIAAgACAAIAAgACAAIAAgACAAKQAsAFwAbgBcAG4AIAAgACAAIAAgACAAIAAgACAAIAAgACAAIAAgACAAIAAgACAAIAAgACAAIAAgACAAVgBTAFQAQQBDAEsAKABuAGUAeAB0AF8AbABlAG4ALAAgAGwAaQBtAGIAcwBfAG4AZQB4AHQAXwByACkAXABuACAAIAAgACAAIAAgACAAIAAgACAAIAAgACAAIAAgACAAIAAgACAAIAApAFwAbgAgACAAIAAgACAAIAAgACAAIAAgACAAIAAgACAAIAAgACkAKQAsAFwAbgAgACAAIAAgACAAIAAgACAAIAAgACAAIAAgACAAIAAgAEQAUgBPAFAAKABmAGkAbgBhAGwAXwBwAGEAYwBrAGUAZABfAHMAdABhAHQAZQAsACAAMQApAFwAbgAgACAAIAAgACAAIAAgACAAIAAgACAAIAApAFwAbgAgACAAIAAgACAAIAAgACAAKQBcAG4AIAAgACAAIAApAFwAbgApADsAXABuAFwAbgAvACoAKgBcAG4AIAAqACAAWwBJAG4AdABlAHIAbgBhAGwAXQAgAEgAZQBhAHYAeQB3AGUAaQBnAGgAdAAgAE4AZQB3AHQAbwBuAC0AUgBhAHAAaABzAG8AbgAgAEQAaQB2AGkAcwBpAG8AbgAuAFwAbgAgACoAIABJAG0AcABsAGUAbQBlAG4AdABzACAAcAByAG8AZwByAGUAcwBzAGkAdgBlACAAcwBjAGEAbABpAG4AZwAgAGIAbwB1AG4AZABlAGQAIAB0AG8AIABNAEEAWAAoAGwAZQBuAF8AYQAsACAAbABlAG4AXwBiACkALgBcAG4AIAAqACAAQABwAGEAcgBhAG0AIABsAGkAbQBiAHMAXwBhACAAVABoAGUAIABkAGkAdgBpAGQAZQBuAGQAIABhAHIAcgBhAHkALgBcAG4AIAAqACAAQABwAGEAcgBhAG0AIABsAGkAbQBiAHMAXwBiACAAVABoAGUAIABkAGkAdgBpAHMAbwByACAAYQByAHIAYQB5AC4AXABuACAAKgAgAEAAcABhAHIAYQBtACAAawAgAFQAaABlACAAZAB5AG4AYQBtAGkAYwAgAGMAaAB1AG4AawAgAHMAaQB6AGUAIABjAG8AbgB0AGUAeAB0AC4AXABuACAAKgAvAFwAbgBOAGUAdwB0AG8AbgBSAGEAcABoAHMAbwBuAEQAaQB2ACAAPQAgAEwAQQBNAEIARABBACgAbABpAG0AYgBzAF8AYQAsACAAbABpAG0AYgBzAF8AYgAsACAAawAsAFwAbgAgACAAIAAgAEwARQBUACgAXABuACAAIAAgACAAIAAgACAAIABuAHUAbQBfAGwAaQBtAGIAcwBfAGEALAAgAFIATwBXAFMAKABsAGkAbQBiAHMAXwBhACkALABcAG4AIAAgACAAIAAgACAAIAAgAG4AdQBtAF8AbABpAG0AYgBzAF8AYgAsACAAUgBPAFcAUwAoAGwAaQBtAGIAcwBfAGIAKQAsAFwAbgAgACAAIAAgACAAIAAgACAAbgB1AG0AXwBsAGkAbQBiAHMAXwB0AGEAcgBnAGUAdAAsACAATQBBAFgAKABuAHUAbQBfAGwAaQBtAGIAcwBfAGEALAAgAG4AdQBtAF8AbABpAG0AYgBzAF8AYgApACwAXABuAFwAbgAgACAAIAAgACAAIAAgACAALwAvACAAMQAuACAAQwBhAGwAYwB1AGwAYQB0AGUAIAByAGUAYwBpAHAAcgBvAGMAYQBsACAAUgAgAHMAYwBhAGwAZQBkACAAZAB5AG4AYQBtAGkAYwBhAGwAbAB5ACAAdABvACAAMgAgACoAIAB0AGEAcgBnAGUAdABfAGwAZQBuAFwAbgAgACAAIAAgACAAIAAgACAAbABpAG0AYgBzAF8AcgBlAGMAaQBwAHIAbwBjAGEAbAAsACAAYwBvAHIAZQBfAEIAaQBnAEkAbgB0AC4ATgBlAHcAdABvAG4AUgBhAHAAaABzAG8AbgBSAGUAYwBpAHAAcgBvAGMAYQBsACgAbABpAG0AYgBzAF8AYgAsACAAbgB1AG0AXwBsAGkAbQBiAHMAXwB0AGEAcgBnAGUAdAAsACAAawApACwAXABuAFwAbgAgACAAIAAgACAAIAAgACAALwAvACAAMgAuACAAQQBwAHAAcgBvAHgAaQBtAGEAdABlACAAUQB1AG8AdABpAGUAbgB0ADoAIABRAF8AYQBwAHAAcgBvAHgAIAA9ACAAQQAgACoAIABSACAALwAgAEIAZQB0AGEAXgAoADIAIAAqACAAdABhAHIAZwBlAHQAXwBsAGUAbgApAFwAbgAgACAAIAAgACAAIAAgACAAcgBpAGcAaAB0AF8AcwBoAGkAZgB0AF8AbABpAG0AYgBzACwAIAAyACAAKgAgAG4AdQBtAF8AbABpAG0AYgBzAF8AdABhAHIAZwBlAHQALABcAG4AIAAgACAAIAAgACAAIAAgAGwAaQBtAGIAcwBfAHEAXwB1AG4AcwBjAGEAbABlAGQALAAgAGMAbwByAGUAXwBCAGkAZwBJAG4AdAAuAFUATQB1AGwAKABsAGkAbQBiAHMAXwBhACwAIABsAGkAbQBiAHMAXwByAGUAYwBpAHAAcgBvAGMAYQBsACwAIABrACkALABcAG4AIAAgACAAIAAgACAAIAAgAGwAaQBtAGIAcwBfAHEAXwBhAHAAcAByAG8AeAAsACAASQBGACgAUgBPAFcAUwAoAGwAaQBtAGIAcwBfAHEAXwB1AG4AcwBjAGEAbABlAGQAKQAgADwAPQAgAHIAaQBnAGgAdABfAHMAaABpAGYAdABfAGwAaQBtAGIAcwAsACAAewAwAH0ALAAgAEQAUgBPAFAAKABsAGkAbQBiAHMAXwBxAF8AdQBuAHMAYwBhAGwAZQBkACwAIAByAGkAZwBoAHQAXwBzAGgAaQBmAHQAXwBsAGkAbQBiAHMAKQApACwAXABuAFwAbgAgACAAIAAgACAAIAAgACAALwAvACAAQwBhAGwAYwB1AGwAYQB0AGUAIAB0AGgAZQAgAG0AYQBzAHMAaQB2AGUAIABiAGEAcwBlAGwAaQBuAGUAIABwAHIAbwBkAHUAYwB0ACAAZQB4AGEAYwB0AGwAeQAgAE8ATgBDAEUAXABuACAAIAAgACAAIAAgACAAIABsAGkAbQBiAHMAXwBwAF8AYgBhAHMAZQBsAGkAbgBlACwAIABjAG8AcgBlAF8AQgBpAGcASQBuAHQALgBVAE0AdQBsACgAbABpAG0AYgBzAF8AYgAsACAAbABpAG0AYgBzAF8AcQBfAGEAcABwAHIAbwB4ACwAIABrACkALABcAG4AXABuACAAIAAgACAAIAAgACAAIAAvAC8AIAAzAC4AIABCAG8AdQBuAGQAZQBkACAARQByAHIAbwByACAAQwBvAHIAcgBlAGMAdABpAG8AbgAgAFMAdwBlAGUAcAAgACgATwBwAHQAaQBtAGkAegBlAGQAIABPACgATgApACAAUwB0AGUAcABwAGkAbgBnACkAXABuACAAIAAgACAAIAAgACAAIAAvAC8AIABTAHQAYQB0AGUAIABwAGEAYwBrAGkAbgBnADoAIABWAFMAVABBAEMASwAoAEwAZQBuAGcAdABoAF8AUQAsACAAUQBfAGwAaQBtAGIAcwAsACAAUABfAGwAaQBtAGIAcwApAFwAbgAgACAAIAAgACAAIAAgACAAaQBuAGkAdABpAGEAbABfAHAAYQBjAGsAZQBkAF8AcwB0AGEAdABlACwAIABWAFMAVABBAEMASwAoAFIATwBXAFMAKABsAGkAbQBiAHMAXwBxAF8AYQBwAHAAcgBvAHgAKQAsACAAbABpAG0AYgBzAF8AcQBfAGEAcABwAHIAbwB4ACwAIABsAGkAbQBiAHMAXwBwAF8AYgBhAHMAZQBsAGkAbgBlACkALABcAG4AXABuACAAIAAgACAAIAAgACAAIAAvAC8AIABTAHcAZQBlAHAAIABEAG8AdwBuADoAIABJAGYAIABQACAAPgAgAEEALAAgAFEAIABpAHMAIAB0AG8AbwAgAGIAaQBnAC4AIABTAHQAZQBwACAAUQAgAGQAbwB3AG4AIABiAHkAIAAxACwAIABhAG4AZAAgAFAAIABkAG8AdwBuACAAYgB5ACAAQgAuAFwAbgAgACAAIAAgACAAIAAgACAAcABhAGMAawBlAGQAXwBzAHQAYQB0AGUAXwBzAHcAZQBwAHQAXwBkAG8AdwBuACwAIABSAEUARABVAEMARQAoAGkAbgBpAHQAaQBhAGwAXwBwAGEAYwBrAGUAZABfAHMAdABhAHQAZQAsACAAewAxADsAIAAyAH0ALAAgAEwAQQBNAEIARABBACgAcABhAGMAawBlAGQAXwBzAHQAYQB0AGUALAAgAGkALABcAG4AIAAgACAAIAAgACAAIAAgACAAIAAgACAATABFAFQAKABcAG4AIAAgACAAIAAgACAAIAAgACAAIAAgACAAIAAgACAAIABsAGUAbgBfAHEALAAgAEkATgBEAEUAWAAoAHAAYQBjAGsAZQBkAF8AcwB0AGEAdABlACwAIAAxACwAIAAxACkALABcAG4AIAAgACAAIAAgACAAIAAgACAAIAAgACAAIAAgACAAIABsAGkAbQBiAHMAXwBjAHUAcgByAGUAbgB0AF8AcQAsACAAQwBIAE8ATwBTAEUAUgBPAFcAUwAoAHAAYQBjAGsAZQBkAF8AcwB0AGEAdABlACwAIABTAEUAUQBVAEUATgBDAEUAKABsAGUAbgBfAHEALAAgADEALAAgADIAKQApACwAXABuACAAIAAgACAAIAAgACAAIAAgACAAIAAgACAAIAAgACAAbABpAG0AYgBzAF8AYwB1AHIAcgBlAG4AdABfAHAALAAgAEQAUgBPAFAAKABwAGEAYwBrAGUAZABfAHMAdABhAHQAZQAsACAAbABlAG4AXwBxACAAKwAgADEAKQAsAFwAbgBcAG4AIAAgACAAIAAgACAAIAAgACAAIAAgACAAIAAgACAAIABJAEYAKABjAG8AcgBlAF8AQgBpAGcASQBuAHQALgBVAEMAbwBtAHAAYQByAGUAKABsAGkAbQBiAHMAXwBjAHUAcgByAGUAbgB0AF8AcAAsACAAbABpAG0AYgBzAF8AYQApACAAPAA9ACAAMAAsACAAcABhAGMAawBlAGQAXwBzAHQAYQB0AGUALABcAG4AIAAgACAAIAAgACAAIAAgACAAIAAgACAAIAAgACAAIAAgACAAIAAgAEwARQBUACgAXABuACAAIAAgACAAIAAgACAAIAAgACAAIAAgACAAIAAgACAAIAAgACAAIAAgACAAIAAgAGwAaQBtAGIAcwBfAG4AZQB4AHQAXwBxACwAIABjAG8AcgBlAF8AQgBpAGcASQBuAHQALgBVAFMAdQBiACgAbABpAG0AYgBzAF8AYwB1AHIAcgBlAG4AdABfAHEALAAgAHsAMQB9ACwAIABrACkALABcAG4AIAAgACAAIAAgACAAIAAgACAAIAAgACAAIAAgACAAIAAgACAAIAAgACAAIAAgACAAbABpAG0AYgBzAF8AbgBlAHgAdABfAHAALAAgAGMAbwByAGUAXwBCAGkAZwBJAG4AdAAuAFUAUwB1AGIAKABsAGkAbQBiAHMAXwBjAHUAcgByAGUAbgB0AF8AcAAsACAAbABpAG0AYgBzAF8AYgAsACAAawApACwAXABuACAAIAAgACAAIAAgACAAIAAgACAAIAAgACAAIAAgACAAIAAgACAAIAAgACAAIAAgAFYAUwBUAEEAQwBLACgAUgBPAFcAUwAoAGwAaQBtAGIAcwBfAG4AZQB4AHQAXwBxACkALAAgAGwAaQBtAGIAcwBfAG4AZQB4AHQAXwBxACwAIABsAGkAbQBiAHMAXwBuAGUAeAB0AF8AcAApAFwAbgAgACAAIAAgACAAIAAgACAAIAAgACAAIAAgACAAIAAgACAAIAAgACAAKQAgACAAIAAgACAAIAAgACAAIAAgACAAIAAgACAAIAAgACAAIAAgACAAXABuACAAIAAgACAAIAAgACAAIAAgACAAIAAgACAAIAAgACAAKQBcAG4AIAAgACAAIAAgACAAIAAgACAAIAAgACAAKQBcAG4AIAAgACAAIAAgACAAIAAgACkAKQAsAFwAbgBcAG4AIAAgACAAIAAgACAAIAAgAC8ALwAgAFMAdwBlAGUAcAAgAFUAcAA6ACAASQBmACAAUAAgACsAIABCACAAPAA9ACAAQQAsACAAUQAgAGkAcwAgAHQAbwBvACAAcwBtAGEAbABsAC4AIABTAHQAZQBwACAAUQAgAHUAcAAgAGIAeQAgADEALAAgAGEAbgBkACAAUAAgAHUAcAAgAGIAeQAgAEIALgBcAG4AIAAgACAAIAAgACAAIAAgAHAAYQBjAGsAZQBkAF8AcwB0AGEAdABlAF8AcwB3AGUAcAB0AF8AdQBwACwAIABSAEUARABVAEMARQAoAHAAYQBjAGsAZQBkAF8AcwB0AGEAdABlAF8AcwB3AGUAcAB0AF8AZABvAHcAbgAsACAAewAxADsAIAAyAH0ALAAgAEwAQQBNAEIARABBACgAcABhAGMAawBlAGQAXwBzAHQAYQB0AGUALAAgAGkALABcAG4AIAAgACAAIAAgACAAIAAgACAAIAAgACAATABFAFQAKABcAG4AIAAgACAAIAAgACAAIAAgACAAIAAgACAAIAAgACAAIABsAGUAbgBfAHEALAAgAEkATgBEAEUAWAAoAHAAYQBjAGsAZQBkAF8AcwB0AGEAdABlACwAIAAxACwAIAAxACkALABcAG4AIAAgACAAIAAgACAAIAAgACAAIAAgACAAIAAgACAAIABsAGkAbQBiAHMAXwBjAHUAcgByAGUAbgB0AF8AcQAsACAAQwBIAE8ATwBTAEUAUgBPAFcAUwAoAHAAYQBjAGsAZQBkAF8AcwB0AGEAdABlACwAIABTAEUAUQBVAEUATgBDAEUAKABsAGUAbgBfAHEALAAgADEALAAgADIAKQApACwAXABuACAAIAAgACAAIAAgACAAIAAgACAAIAAgACAAIAAgACAAbABpAG0AYgBzAF8AYwB1AHIAcgBlAG4AdABfAHAALAAgAEQAUgBPAFAAKABwAGEAYwBrAGUAZABfAHMAdABhAHQAZQAsACAAbABlAG4AXwBxACAAKwAgADEAKQAsAFwAbgAgACAAIAAgACAAIAAgACAAIAAgACAAIAAgACAAIAAgAFwAbgAgACAAIAAgACAAIAAgACAAIAAgACAAIAAgACAAIAAgAGwAaQBtAGIAcwBfAG4AZQB4AHQAXwBwAF8AdABlAHMAdAAsACAAYwBvAHIAZQBfAEIAaQBnAEkAbgB0AC4AVQBBAGQAZAAoAGwAaQBtAGIAcwBfAGMAdQByAHIAZQBuAHQAXwBwACwAIABsAGkAbQBiAHMAXwBiACwAIABrACkALABcAG4AXABuACAAIAAgACAAIAAgACAAIAAgACAAIAAgACAAIAAgACAASQBGACgAYwBvAHIAZQBfAEIAaQBnAEkAbgB0AC4AVQBDAG8AbQBwAGEAcgBlACgAbABpAG0AYgBzAF8AbgBlAHgAdABfAHAAXwB0AGUAcwB0ACwAIABsAGkAbQBiAHMAXwBhACkAIAA+ACAAMAAsACAAcABhAGMAawBlAGQAXwBzAHQAYQB0AGUALABcAG4AIAAgACAAIAAgACAAIAAgACAAIAAgACAAIAAgACAAIAAgACAAIAAgAEwARQBUACgAXABuACAAIAAgACAAIAAgACAAIAAgACAAIAAgACAAIAAgACAAIAAgACAAIAAgACAAIAAgAGwAaQBtAGIAcwBfAG4AZQB4AHQAXwBxACwAIABjAG8AcgBlAF8AQgBpAGcASQBuAHQALgBVAEEAZABkACgAbABpAG0AYgBzAF8AYwB1AHIAcgBlAG4AdABfAHEALAAgAHsAMQB9ACwAIABrACkALABcAG4AIAAgACAAIAAgACAAIAAgACAAIAAgACAAIAAgACAAIAAgACAAIAAgACAAIAAgACAAVgBTAFQAQQBDAEsAKABSAE8AVwBTACgAbABpAG0AYgBzAF8AbgBlAHgAdABfAHEAKQAsACAAbABpAG0AYgBzAF8AbgBlAHgAdABfAHEALAAgAGwAaQBtAGIAcwBfAG4AZQB4AHQAXwBwAF8AdABlAHMAdAApAFwAbgAgACAAIAAgACAAIAAgACAAIAAgACAAIAAgACAAIAAgACAAIAAgACAAKQAgACAAIAAgACAAIAAgACAAIAAgACAAIAAgACAAIAAgACAAIAAgACAAXABuACAAIAAgACAAIAAgACAAIAAgACAAIAAgACAAIAAgACAAKQBcAG4AIAAgACAAIAAgACAAIAAgACAAIAAgACAAKQBcAG4AIAAgACAAIAAgACAAIAAgACkAKQAsAFwAbgBcAG4AIAAgACAAIAAgACAAIAAgAC8ALwAgAEUAeAB0AHIAYQBjAHQAIABGAGkAbgBhAGwAIABRACAAYQBuAGQAIABQAFwAbgAgACAAIAAgACAAIAAgACAAbABlAG4AXwBxACwAIABJAE4ARABFAFgAKABwAGEAYwBrAGUAZABfAHMAdABhAHQAZQBfAHMAdwBlAHAAdABfAHUAcAAsACAAMQAsACAAMQApACwAXABuACAAIAAgACAAIAAgACAAIABsAGkAbQBiAHMAXwBxACwAIABDAEgATwBPAFMARQBSAE8AVwBTACgAcABhAGMAawBlAGQAXwBzAHQAYQB0AGUAXwBzAHcAZQBwAHQAXwB1AHAALAAgAFMARQBRAFUARQBOAEMARQAoAGwAZQBuAF8AcQAsACAAMQAsACAAMgApACkALABcAG4AIAAgACAAIAAgACAAIAAgAGwAaQBtAGIAcwBfAHAALAAgAEQAUgBPAFAAKABwAGEAYwBrAGUAZABfAHMAdABhAHQAZQBfAHMAdwBlAHAAdABfAHUAcAAsACAAbABlAG4AXwBxACAAKwAgADEAKQAsAFwAbgBcAG4AIAAgACAAIAAgACAAIAAgAC8ALwAgADQALgAgAEUAeAB0AHIAYQBjAHQAIABUAHIAdQBlACAAUgBlAG0AYQBpAG4AZABlAHIAIABTAGEAZgBlAGwAeQAgACgAQQAgAC0AIABGAGkAbgBhAGwAXwBQACkAXABuACAAIAAgACAAIAAgACAAIABsAGkAbQBiAHMAXwByACwAIABjAG8AcgBlAF8AQgBpAGcASQBuAHQALgBVAFMAdQBiACgAbABpAG0AYgBzAF8AYQAsACAAbABpAG0AYgBzAF8AcAAsACAAawApACwAXABuAFwAbgAgACAAIAAgACAAIAAgACAAVgBTAFQAQQBDAEsAKABcAG4AIAAgACAAIAAgACAAIAAgACAAIAAgACAAUgBPAFcAUwAoAGwAaQBtAGIAcwBfAHIAKQAsAFwAbgAgACAAIAAgACAAIAAgACAAIAAgACAAIABsAGkAbQBiAHMAXwByACwAXABuACAAIAAgACAAIAAgACAAIAAgACAAIAAgAGwAaQBtAGIAcwBfAHEAXABuACAAIAAgACAAIAAgACAAIAApAFwAbgAgACAAIAAgACkAXABuACkAOwBcAG4AXABuAC8AKgAqAFwAbgAgACoAIABbAEkAbgB0AGUAcgBuAGEAbABdACAAVQBuAHMAaQBnAG4AZQBkACAAQgBhAHMAZQAtADEAMAAgAEwAZQBmAHQALQB0AG8ALQBSAGkAZwBoAHQAIABFAHgAcABvAG4AZQBuAHQAaQBhAHQAaQBvAG4ALgBcAG4AIAAqACAARQB2AGEAbAB1AGEAdABlAHMAIAB0AGgAZQAgAGUAeABwAG8AbgBlAG4AdAAgAGkAdABlAHIAYQB0AGkAdgBlAGwAeQAgAHUAcwBpAG4AZwAgAGEAIABwAHIAZQAtAGMAbwBtAHAAdQB0AGUAZAAgADEALQA5ACAAYwBhAGMAaABlAC4AXABuACAAKgAgAEAAcABhAHIAYQBtACAAbABpAG0AYgBzAF8AYgBhAHMAZQAgAFQAaABlACAAbABpAHQAdABsAGUALQBlAG4AZABpAGEAbgAgAGwAaQBtAGIAIABhAHIAcgBhAHkAIABvAGYAIAB0AGgAZQAgAGIAYQBzAGUALgBcAG4AIAAqACAAQABwAGEAcgBhAG0AIABlAHgAcABfAHMAdAByAGkAbgBnACAAVABoAGUAIABlAHgAYQBjAHQAIAB0AGUAeAB0ACAAcwB0AHIAaQBuAGcAIABvAGYAIAB0AGgAZQAgAGUAeABwAG8AbgBlAG4AdAAuAFwAbgAgACoAIABAAHAAYQByAGEAbQAgAGsAIABUAGgAZQAgAGQAeQBuAGEAbQBpAGMAIABjAGgAdQBuAGsAIABzAGkAegBlACAAYwBvAG4AdABlAHgAdAAuAFwAbgAgACoALwBcAG4AVQBQAG8AdwAgAD0AIABMAEEATQBCAEQAQQAoAGwAaQBtAGIAcwBfAGIAYQBzAGUALAAgAGUAeABwAG8AbgBlAG4AdABfAHMAdAByAGkAbgBnACwAIABrACwAXABuACAAIAAgACAATABFAFQAKABcAG4AIAAgACAAIAAgACAAIAAgAC8ALwAgAFAAcgBlAC0AYwBvAG0AcAB1AHQAZQAgAHAAbwB3AGUAcgBzACAAMQAgAHQAaAByAG8AdQBnAGgAIAA5AC4AXABuACAAIAAgACAAIAAgACAAIABsAGkAbQBiAHMAXwBiAGEAcwBlADEALAAgAGwAaQBtAGIAcwBfAGIAYQBzAGUALABcAG4AIAAgACAAIAAgACAAIAAgAGwAaQBtAGIAcwBfAGIAYQBzAGUAMgAsACAAYwBvAHIAZQBfAEIAaQBnAEkAbgB0AC4AVQBNAHUAbAAoAGwAaQBtAGIAcwBfAGIAYQBzAGUAMQAsACAAbABpAG0AYgBzAF8AYgBhAHMAZQAxACwAIABrACkALABcAG4AIAAgACAAIAAgACAAIAAgAGwAaQBtAGIAcwBfAGIAYQBzAGUAMwAsACAAYwBvAHIAZQBfAEIAaQBnAEkAbgB0AC4AVQBNAHUAbAAoAGwAaQBtAGIAcwBfAGIAYQBzAGUAMgAsACAAbABpAG0AYgBzAF8AYgBhAHMAZQAxACwAIABrACkALABcAG4AIAAgACAAIAAgACAAIAAgAGwAaQBtAGIAcwBfAGIAYQBzAGUANAAsACAAYwBvAHIAZQBfAEIAaQBnAEkAbgB0AC4AVQBNAHUAbAAoAGwAaQBtAGIAcwBfAGIAYQBzAGUAMgAsACAAbABpAG0AYgBzAF8AYgBhAHMAZQAyACwAIABrACkALABcAG4AIAAgACAAIAAgACAAIAAgAGwAaQBtAGIAcwBfAGIAYQBzAGUANQAsACAAYwBvAHIAZQBfAEIAaQBnAEkAbgB0AC4AVQBNAHUAbAAoAGwAaQBtAGIAcwBfAGIAYQBzAGUANAAsACAAbABpAG0AYgBzAF8AYgBhAHMAZQAxACwAIABrACkALABcAG4AIAAgACAAIAAgACAAIAAgAGwAaQBtAGIAcwBfAGIAYQBzAGUANgAsACAAYwBvAHIAZQBfAEIAaQBnAEkAbgB0AC4AVQBNAHUAbAAoAGwAaQBtAGIAcwBfAGIAYQBzAGUAMwAsACAAbABpAG0AYgBzAF8AYgBhAHMAZQAzACwAIABrACkALABcAG4AIAAgACAAIAAgACAAIAAgAGwAaQBtAGIAcwBfAGIAYQBzAGUANwAsACAAYwBvAHIAZQBfAEIAaQBnAEkAbgB0AC4AVQBNAHUAbAAoAGwAaQBtAGIAcwBfAGIAYQBzAGUANgAsACAAbABpAG0AYgBzAF8AYgBhAHMAZQAxACwAIABrACkALABcAG4AIAAgACAAIAAgACAAIAAgAGwAaQBtAGIAcwBfAGIAYQBzAGUAOAAsACAAYwBvAHIAZQBfAEIAaQBnAEkAbgB0AC4AVQBNAHUAbAAoAGwAaQBtAGIAcwBfAGIAYQBzAGUANAAsACAAbABpAG0AYgBzAF8AYgBhAHMAZQA0ACwAIABrACkALABcAG4AIAAgACAAIAAgACAAIAAgAGwAaQBtAGIAcwBfAGIAYQBzAGUAOQAsACAAYwBvAHIAZQBfAEIAaQBnAEkAbgB0AC4AVQBNAHUAbAAoAGwAaQBtAGIAcwBfAGIAYQBzAGUAOAAsACAAbABpAG0AYgBzAF8AYgBhAHMAZQAxACwAIABrACkALABcAG4AXABuACAAIAAgACAAIAAgACAAIABlAHgAcABvAG4AZQBuAHQAXwBkAGkAZwBpAHQAcwAsACAALQAtAE0ASQBEACgAZQB4AHAAbwBuAGUAbgB0AF8AcwB0AHIAaQBuAGcALAAgAFMARQBRAFUARQBOAEMARQAoAEwARQBOACgAZQB4AHAAbwBuAGUAbgB0AF8AcwB0AHIAaQBuAGcAKQApACwAIAAxACkALABcAG4AXABuACAAIAAgACAAIAAgACAAIABSAEUARABVAEMARQAoADEALAAgAGUAeABwAG8AbgBlAG4AdABfAGQAaQBnAGkAdABzACwAIABMAEEATQBCAEQAQQAoAGwAaQBtAGIAcwBfAGEAYwBjAHUAbQB1AGwAYQB0AG8AcgAsACAAYwB1AHIAcgBlAG4AdABfAGQAaQBnAGkAdAAsAFwAbgAgACAAIAAgACAAIAAgACAAIAAgACAAIABMAEUAVAAoAFwAbgAgACAAIAAgACAAIAAgACAAIAAgACAAIAAgACAAIAAgAC8ALwAgAFMAaABvAHIAdAAtAGMAaQByAGMAdQBpAHQAOgAgAFMAawBpAHAAIABjAGEAbABjAHUAbABhAHQAaQBuAGcAIAAxAF4AMQAwACAAZAB1AHIAaQBuAGcAIABsAGUAYQBkAGkAbgBnACAAaQB0AGUAcgBhAHQAaQBvAG4AcwBcAG4AIAAgACAAIAAgACAAIAAgACAAIAAgACAAIAAgACAAIABpAHMAXwBvAG4AZQAsACAAQQBOAEQAKABSAE8AVwBTACgAbABpAG0AYgBzAF8AYQBjAGMAdQBtAHUAbABhAHQAbwByACkAIAA9ACAAMQAsACAASQBOAEQARQBYACgAbABpAG0AYgBzAF8AYQBjAGMAdQBtAHUAbABhAHQAbwByACwAIAAxACwAIAAxACkAIAA9ACAAMQApACwAXABuACAAIAAgACAAIAAgACAAIAAgACAAIAAgACAAIAAgACAAXABuACAAIAAgACAAIAAgACAAIAAgACAAIAAgACAAIAAgACAALwAvACAAMQAuACAAUgBhAGkAcwBlACAAQQBjAGMAIAB0AG8AIAB0AGgAZQAgADEAMAB0AGgAIABwAG8AdwBlAHIAXABuACAAIAAgACAAIAAgACAAIAAgACAAIAAgACAAIAAgACAAbABpAG0AYgBzAF8AYQBjAGMAXwAxADAALAAgAEkARgAoAGkAcwBfAG8AbgBlACwAIABsAGkAbQBiAHMAXwBhAGMAYwB1AG0AdQBsAGEAdABvAHIALABcAG4AIAAgACAAIAAgACAAIAAgACAAIAAgACAAIAAgACAAIAAgACAAIAAgAEwARQBUACgAXABuACAAIAAgACAAIAAgACAAIAAgACAAIAAgACAAIAAgACAAIAAgACAAIAAgACAAIAAgAGwAaQBtAGIAcwBfAGEAYwBjAF8AMgAsACAAYwBvAHIAZQBfAEIAaQBnAEkAbgB0AC4AVQBNAHUAbAAoAGwAaQBtAGIAcwBfAGEAYwBjAHUAbQB1AGwAYQB0AG8AcgAsACAAbABpAG0AYgBzAF8AYQBjAGMAdQBtAHUAbABhAHQAbwByACwAIABrACkALABcAG4AIAAgACAAIAAgACAAIAAgACAAIAAgACAAIAAgACAAIAAgACAAIAAgACAAIAAgACAAbABpAG0AYgBzAF8AYQBjAGMAXwA0ACwAIABjAG8AcgBlAF8AQgBpAGcASQBuAHQALgBVAE0AdQBsACgAbABpAG0AYgBzAF8AYQBjAGMAXwAyACwAIABsAGkAbQBiAHMAXwBhAGMAYwBfADIALAAgAGsAKQAsAFwAbgAgACAAIAAgACAAIAAgACAAIAAgACAAIAAgACAAIAAgACAAIAAgACAAIAAgACAAIABsAGkAbQBiAHMAXwBhAGMAYwBfADgALAAgAGMAbwByAGUAXwBCAGkAZwBJAG4AdAAuAFUATQB1AGwAKABsAGkAbQBiAHMAXwBhAGMAYwBfADQALAAgAGwAaQBtAGIAcwBfAGEAYwBjAF8ANAAsACAAawApACwAXABuACAAIAAgACAAIAAgACAAIAAgACAAIAAgACAAIAAgACAAIAAgACAAIAAgACAAIAAgAGMAbwByAGUAXwBCAGkAZwBJAG4AdAAuAFUATQB1AGwAKABsAGkAbQBiAHMAXwBhAGMAYwBfADgALAAgAGwAaQBtAGIAcwBfAGEAYwBjAF8AMgAsACAAawApAFwAbgAgACAAIAAgACAAIAAgACAAIAAgACAAIAAgACAAIAAgACAAIAAgACAAKQBcAG4AIAAgACAAIAAgACAAIAAgACAAIAAgACAAIAAgACAAIAApACwAXABuAFwAbgAgACAAIAAgACAAIAAgACAAIAAgACAAIAAgACAAIAAgAC8ALwAgADIALgAgAE0AdQBsAHQAaQBwAGwAeQAgAGIAeQAgAHQAaABlACAAYwBvAHIAcgBlAHMAcABvAG4AZABpAG4AZwAgAGMAYQBjAGgAZQBkACAAdgBhAGwAdQBlAFwAbgAgACAAIAAgACAAIAAgACAAIAAgACAAIAAgACAAIAAgAEkARgAoAGMAdQByAHIAZQBuAHQAXwBkAGkAZwBpAHQAIAA9ACAAMAAsACAAbABpAG0AYgBzAF8AYQBjAGMAXwAxADAALABcAG4AIAAgACAAIAAgACAAIAAgACAAIAAgACAAIAAgACAAIAAgACAAIAAgAEwARQBUACgAXABuACAAIAAgACAAIAAgACAAIAAgACAAIAAgACAAIAAgACAAIAAgACAAIAAgACAAIAAgAGwAaQBtAGIAcwBfAGMAYQBjAGgAZQBfAG0AdQBsAHQAaQBwAGwAaQBlAHIALAAgAEMASABPAE8AUwBFACgAYwB1AHIAcgBlAG4AdABfAGQAaQBnAGkAdAAsACAAbABpAG0AYgBzAF8AYgBhAHMAZQAxACwAIABsAGkAbQBiAHMAXwBiAGEAcwBlADIALAAgAGwAaQBtAGIAcwBfAGIAYQBzAGUAMwAsACAAbABpAG0AYgBzAF8AYgBhAHMAZQA0ACwAIABsAGkAbQBiAHMAXwBiAGEAcwBlADUALAAgAGwAaQBtAGIAcwBfAGIAYQBzAGUANgAsACAAbABpAG0AYgBzAF8AYgBhAHMAZQA3ACwAIABsAGkAbQBiAHMAXwBiAGEAcwBlADgALAAgAGwAaQBtAGIAcwBfAGIAYQBzAGUAOQApACwAXABuACAAIAAgACAAIAAgACAAIAAgACAAIAAgACAAIAAgACAAIAAgACAAIAAgACAAIAAgAEkARgAoAGkAcwBfAG8AbgBlACwAIABsAGkAbQBiAHMAXwBjAGEAYwBoAGUAXwBtAHUAbAB0AGkAcABsAGkAZQByACwAIABjAG8AcgBlAF8AQgBpAGcASQBuAHQALgBVAE0AdQBsACgAbABpAG0AYgBzAF8AYQBjAGMAXwAxADAALAAgAGwAaQBtAGIAcwBfAGMAYQBjAGgAZQBfAG0AdQBsAHQAaQBwAGwAaQBlAHIALAAgAGsAKQApAFwAbgAgACAAIAAgACAAIAAgACAAIAAgACAAIAAgACAAIAAgACAAIAAgACAAKQBcAG4AIAAgACAAIAAgACAAIAAgACAAIAAgACAAIAAgACAAIAApAFwAbgAgACAAIAAgACAAIAAgACAAIAAgACAAIAApAFwAbgAgACAAIAAgACAAIAAgACAAKQApAFwAbgAgACAAIAAgACkAXABuACkAOwBcAG4AXABuAC8AKgAqAFwAbgAgACoAIABbAEkAbgB0AGUAcgBuAGEAbABdACAAVQBuAHMAaQBnAG4AZQBkACAASQBuAHQAZQBnAGUAcgAgAFMAcQB1AGEAcgBlACAAUgBvAG8AdAAgAHUAcwBpAG4AZwAgAE4AZQB3AHQAbwBuACcAcwAgAE0AZQB0AGgAbwBkAC4AXABuACAAKgAgAEAAcABhAHIAYQBtACAAbABpAG0AYgBzAF8AcgBhAGQAaQBjAGEAbgBkAC4AXABuACAAKgAgAEAAcABhAHIAYQBtACAAbABpAG0AYgBzAF8AaQBuAGkAdABpAGEAbABfAHgAIABPAHYAZQByAC0AZQBzAHQAaQBtAGEAdABlAGQAIABzAGUAZQBkACAAYQByAHIAYQB5AC4AXABuACAAKgAgAEAAcABhAHIAYQBtACAAawAgAFQAaABlACAAZAB5AG4AYQBtAGkAYwAgAGMAaAB1AG4AawAgAHMAaQB6AGUAIABjAG8AbgB0AGUAeAB0AC4AXABuACAAKgAvAFwAbgBVAFMAcQByAHQAIAA9ACAATABBAE0AQgBEAEEAKABsAGkAbQBiAHMAXwByAGEAZABpAGMAYQBuAGQALAAgAGwAaQBtAGIAcwBfAGkAbgBpAHQAaQBhAGwAXwB4ACwAIABrACwAXABuACAAIAAgACAATABFAFQAKABcAG4AIAAgACAAIAAgACAAIAAgAG0AYQB4AGkAbQB1AG0AXwBpAHQAZQByAGEAdABpAG8AbgBzACwAIAAzADUALABcAG4AXABuACAAIAAgACAAIAAgACAAIABmAGkAbgBhAGwAXwBwAGEAYwBrAGUAZABfAHMAdABhAHQAZQAsACAAUgBFAEQAVQBDAEUAKABWAFMAVABBAEMASwAoADAALAAgAGwAaQBtAGIAcwBfAGkAbgBpAHQAaQBhAGwAXwB4ACkALAAgAFMARQBRAFUARQBOAEMARQAoAG0AYQB4AGkAbQB1AG0AXwBpAHQAZQByAGEAdABpAG8AbgBzACkALAAgAEwAQQBNAEIARABBACgAcABhAGMAawBlAGQAXwBzAHQAYQB0AGUALAAgAGkALABcAG4AIAAgACAAIAAgACAAIAAgACAAIAAgACAATABFAFQAKABcAG4AIAAgACAAIAAgACAAIAAgACAAIAAgACAAIAAgACAAIABoAGEAcwBfAGMAbwBuAHYAZQByAGcAZQBkACwAIABJAE4ARABFAFgAKABwAGEAYwBrAGUAZABfAHMAdABhAHQAZQAsACAAMQAsACAAMQApACwAXABuACAAIAAgACAAIAAgACAAIAAgACAAIAAgACAAIAAgACAAbABpAG0AYgBzAF8AYwB1AHIAcgBlAG4AdABfAHgALAAgAEQAUgBPAFAAKABwAGEAYwBrAGUAZABfAHMAdABhAHQAZQAsACAAMQApACwAXABuAFwAbgAgACAAIAAgACAAIAAgACAAIAAgACAAIAAgACAAIAAgAEkARgAoAGgAYQBzAF8AYwBvAG4AdgBlAHIAZwBlAGQALAAgAHAAYQBjAGsAZQBkAF8AcwB0AGEAdABlACwAXABuACAAIAAgACAAIAAgACAAIAAgACAAIAAgACAAIAAgACAAIAAgACAAIABMAEUAVAAoAFwAbgAgACAAIAAgACAAIAAgACAAIAAgACAAIAAgACAAIAAgACAAIAAgACAAIAAgACAAIAAvAC8AIAAxAC4AIABEAGkAdgBpAHMAaQBvAG4AOgAgAG4AIAAvACAAeABcAG4AIAAgACAAIAAgACAAIAAgACAAIAAgACAAIAAgACAAIAAgACAAIAAgACAAIAAgACAAcABhAGMAawBlAGQAXwBkAGkAdgBpAHMAaQBvAG4AXwByAGUAcwB1AGwAdAAsACAAYwBvAHIAZQBfAEIAaQBnAEkAbgB0AC4ARABpAHYAUgBvAHUAdABlAHIAKABsAGkAbQBiAHMAXwByAGEAZABpAGMAYQBuAGQALAAgAGwAaQBtAGIAcwBfAGMAdQByAHIAZQBuAHQAXwB4ACwAIABrACkALABcAG4AIAAgACAAIAAgACAAIAAgACAAIAAgACAAIAAgACAAIAAgACAAIAAgACAAIAAgACAAbgB1AG0AXwBsAGkAbQBiAHMAXwByACwAIABJAE4ARABFAFgAKABwAGEAYwBrAGUAZABfAGQAaQB2AGkAcwBpAG8AbgBfAHIAZQBzAHUAbAB0ACwAIAAxACwAIAAxACkALABcAG4AIAAgACAAIAAgACAAIAAgACAAIAAgACAAIAAgACAAIAAgACAAIAAgACAAIAAgACAAbABpAG0AYgBzAF8AcQAsACAARABSAE8AUAAoAHAAYQBjAGsAZQBkAF8AZABpAHYAaQBzAGkAbwBuAF8AcgBlAHMAdQBsAHQALAAgAG4AdQBtAF8AbABpAG0AYgBzAF8AcgAgACsAIAAxACkALABcAG4AXABuACAAIAAgACAAIAAgACAAIAAgACAAIAAgACAAIAAgACAAIAAgACAAIAAgACAAIAAgAC8ALwAgADIALgAgAEEAZABkAGkAdABpAG8AbgA6ACAAeAAgACsAIAAoAG4AIAAvACAAeAApAFwAbgAgACAAIAAgACAAIAAgACAAIAAgACAAIAAgACAAIAAgACAAIAAgACAAIAAgACAAIABsAGkAbQBiAHMAXwBzAHUAbQBfAHgAcQAsACAAYwBvAHIAZQBfAEIAaQBnAEkAbgB0AC4AVQBBAGQAZAAoAGwAaQBtAGIAcwBfAGMAdQByAHIAZQBuAHQAXwB4ACwAIABsAGkAbQBiAHMAXwBxACwAIABrACkALABcAG4AXABuACAAIAAgACAAIAAgACAAIAAgACAAIAAgACAAIAAgACAAIAAgACAAIAAgACAAIAAgAC8ALwAgADMALgAgAEgAYQBsAHYAaQBuAGcAOgAgACgAeAAgACsAIAAoAG4AIAAvACAAeAApACkAIAAvACAAMgBcAG4AIAAgACAAIAAgACAAIAAgACAAIAAgACAAIAAgACAAIAAgACAAIAAgACAAIAAgACAALwAvACAASwBuAHUAdABoAEQAaQB2ACAAaQBuAGgAZQByAGUAbgB0AGwAeQAgAHMAdQBwAHAAbwByAHQAcwAgAHMAYwBhAGwAYQByACAAZABpAHYAaQBzAG8AcgBzACAAdwBpAHQAaAAgAHoAZQByAG8AIABvAHYAZQByAGgAZQBhAGQAXABuACAAIAAgACAAIAAgACAAIAAgACAAIAAgACAAIAAgACAAIAAgACAAIAAgACAAIAAgAHAAYQBjAGsAZQBkAF8AaABhAGwAZgBfAHIAZQBzAHUAbAB0ACwAIABjAG8AcgBlAF8AQgBpAGcASQBuAHQALgBLAG4AdQB0AGgARABpAHYAKABsAGkAbQBiAHMAXwBzAHUAbQBfAHgAcQAsACAAewAyAH0ALAAgAGsAKQAsAFwAbgAgACAAIAAgACAAIAAgACAAIAAgACAAIAAgACAAIAAgACAAIAAgACAAIAAgACAAIABuAHUAbQBfAGwAaQBtAGIAcwBfAGgAYQBsAGYAZQBkACwAIABJAE4ARABFAFgAKABwAGEAYwBrAGUAZABfAGgAYQBsAGYAXwByAGUAcwB1AGwAdAAsACAAMQAsACAAMQApACwAXABuACAAIAAgACAAIAAgACAAIAAgACAAIAAgACAAIAAgACAAIAAgACAAIAAgACAAIAAgAGwAaQBtAGIAcwBfAG4AZQB4AHQAXwB4ACwAIABEAFIATwBQACgAcABhAGMAawBlAGQAXwBoAGEAbABmAF8AcgBlAHMAdQBsAHQALAAgAG4AdQBtAF8AbABpAG0AYgBzAF8AaABhAGwAZgBlAGQAIAArACAAMQApACwAXABuAFwAbgAgACAAIAAgACAAIAAgACAAIAAgACAAIAAgACAAIAAgACAAIAAgACAAIAAgACAAIAAvAC8AIAA0AC4AIABDAG8AbgB2AGUAcgBnAGUAbgBjAGUAIABDAGgAZQBjAGsAXABuACAAIAAgACAAIAAgACAAIAAgACAAIAAgACAAIAAgACAAIAAgACAAIAAgACAAIAAgAGMAbwBuAHYAZQByAGcAZQBuAGMAZQBfAGMAbwBtAHAAYQByAGkAcwBvAG4ALAAgAGMAbwByAGUAXwBCAGkAZwBJAG4AdAAuAFUAQwBvAG0AcABhAHIAZQAoAGwAaQBtAGIAcwBfAG4AZQB4AHQAXwB4ACwAIABsAGkAbQBiAHMAXwBjAHUAcgByAGUAbgB0AF8AeAApACwAXABuAFwAbgAgACAAIAAgACAAIAAgACAAIAAgACAAIAAgACAAIAAgACAAIAAgACAAIAAgACAAIAAvAC8AIABOAGUAdwB0AG8AbgAnAHMAIABtAGUAdABoAG8AZAAgAGMAbwBuAHYAZQByAGcAZQBzACAAbwBuACAAdABoAGUAIABmAGwAbwBvAHIAIAByAG8AbwB0ACwAIABhAG4AZAAgAHMAdABhAGIAaQBsAGkAegBlAHMAIABvAHIAIABvAHMAYwBpAGwAbABhAHQAZQBzACAAdQBwACAAYgB5ACAAMQAuAFwAbgAgACAAIAAgACAAIAAgACAAIAAgACAAIAAgACAAIAAgACAAIAAgACAAIAAgACAAIAAvAC8AIABUAGgAZQByAGUAZgBvAHIAZQAsACAAaQBmACAAeABfAG4AZQB4AHQAIAA+AD0AIABjAHUAcgByAF8AeAAsACAAdABoAGUAIABhAGwAZwBvAHIAaQB0AGgAbQAgAGgAYQBzACAAYwBvAG4AdgBlAHIAZwBlAGQALgBcAG4AIAAgACAAIAAgACAAIAAgACAAIAAgACAAIAAgACAAIAAgACAAIAAgACAAIAAgACAASQBGACgAYwBvAG4AdgBlAHIAZwBlAG4AYwBlAF8AYwBvAG0AcABhAHIAaQBzAG8AbgAgAD4APQAgADAALABcAG4AIAAgACAAIAAgACAAIAAgACAAIAAgACAAIAAgACAAIAAgACAAIAAgACAAIAAgACAAIAAgACAAIABWAFMAVABBAEMASwAoADEALAAgAGwAaQBtAGIAcwBfAGMAdQByAHIAZQBuAHQAXwB4ACkALABcAG4AIAAgACAAIAAgACAAIAAgACAAIAAgACAAIAAgACAAIAAgACAAIAAgACAAIAAgACAAIAAgACAAIABWAFMAVABBAEMASwAoADAALAAgAGwAaQBtAGIAcwBfAG4AZQB4AHQAXwB4ACkAXABuACAAIAAgACAAIAAgACAAIAAgACAAIAAgACAAIAAgACAAIAAgACAAIAAgACAAIAAgACkAXABuACAAIAAgACAAIAAgACAAIAAgACAAIAAgACAAIAAgACAAIAAgACAAIAApAFwAbgAgACAAIAAgACAAIAAgACAAIAAgACAAIAAgACAAIAAgACkAXABuACAAIAAgACAAIAAgACAAIAAgACAAIAAgACkAXABuACAAIAAgACAAIAAgACAAIAApACkALABcAG4AXABuACAAIAAgACAAIAAgACAAIABEAFIATwBQACgAZgBpAG4AYQBsAF8AcABhAGMAawBlAGQAXwBzAHQAYQB0AGUALAAgADEAKQBcAG4AIAAgACAAIAApAFwAbgApADsAXABuAFwAbgAvACoAKgBcAG4AIAAqACAAWwBJAG4AdABlAHIAbgBhAGwAXQAgAEcAZQBuAGUAcgBhAHQAZQBzACAAYQAgADEARAAgAHYAZQByAHQAaQBjAGEAbAAgAGEAcgByAGEAeQAgAG8AZgAgAGEAbABsACAAcAByAGkAbQBlACAAbgB1AG0AYgBlAHIAcwAgAHUAcAAgAHQAbwAgAG4ALgBcAG4AIAAqACAARQB2AGEAbAB1AGEAdABlAHMAIABwAHUAcgBlAGwAeQAgAGkAbgAgAG4AYQB0AGkAdgBlACAAQwArACsAIAB1AHMAaQBuAGcAIABhACAAZAB5AG4AYQBtAGkAYwAgAHMAaQBlAHYAZQAuAFwAbgAgACoAIABAAHAAYQByAGEAbQAgAG4AIABUAGgAZQAgAHUAcABwAGUAcgAgAGIAbwB1AG4AZAAgAGkAbgB0AGUAZwBlAHIAIAAoAGEAcwBzAHUAbQBlAGQAIAA8AD0AIAA5ADIANwAzACkALgBcAG4AIAAqAC8AXABuAE4AYQB0AGkAdgBlAFAAcgBpAG0AZQBzACAAPQAgAEwAQQBNAEIARABBACgAbgAsAFwAbgAgACAAIAAgAEkARgAoAG4AIAA8ACAAMgAsACAAIwBOAFUATQAhACwAXABuACAAIAAgACAAIAAgACAAIABMAEUAVAAoAFwAbgAgACAAIAAgACAAIAAgACAAIAAgACAAIABjAGEAbgBkAGkAZABhAHQAZQBfAHMAZQBxAHUAZQBuAGMAZQAsACAAUwBFAFEAVQBFAE4AQwBFACgAbgAgAC0AIAAxACwAIAAxACwAIAAyACkALABcAG4AIAAgACAAIAAgACAAIAAgACAAIAAgACAARgBJAEwAVABFAFIAKABjAGEAbgBkAGkAZABhAHQAZQBfAHMAZQBxAHUAZQBuAGMAZQAsACAATQBBAFAAKABjAGEAbgBkAGkAZABhAHQAZQBfAHMAZQBxAHUAZQBuAGMAZQAsACAATABBAE0AQgBEAEEAKABjAHUAcgByAGUAbgB0AF8AYwBhAG4AZABpAGQAYQB0AGUALABcAG4AIAAgACAAIAAgACAAIAAgACAAIAAgACAAIAAgACAAIABMAEUAVAAoAFwAbgAgACAAIAAgACAAIAAgACAAIAAgACAAIAAgACAAIAAgACAAIAAgACAAbABpAG0AaQB0ACwAIABJAE4AVAAoAFMAUQBSAFQAKABjAHUAcgByAGUAbgB0AF8AYwBhAG4AZABpAGQAYQB0AGUAKQApACwAXABuACAAIAAgACAAIAAgACAAIAAgACAAIAAgACAAIAAgACAAIAAgACAAIABJAEYAKABsAGkAbQBpAHQAIAA8ACAAMgAsACAAVABSAFUARQAsAFwAbgAgACAAIAAgACAAIAAgACAAIAAgACAAIAAgACAAIAAgACAAIAAgACAAIAAgACAAIABNAEkATgAoAE0ATwBEACgAYwB1AHIAcgBlAG4AdABfAGMAYQBuAGQAaQBkAGEAdABlACwAIABTAEUAUQBVAEUATgBDAEUAKABsAGkAbQBpAHQAIAAtACAAMQAsACAAMQAsACAAMgApACkAKQAgAD4AIAAwAFwAbgAgACAAIAAgACAAIAAgACAAIAAgACAAIAAgACAAIAAgACAAIAAgACAAKQBcAG4AIAAgACAAIAAgACAAIAAgACAAIAAgACAAIAAgACAAIAApAFwAbgAgACAAIAAgACAAIAAgACAAIAAgACAAIAApACkAKQBcAG4AIAAgACAAIAAgACAAIAAgACkAXABuACAAIAAgACAAKQBcAG4AKQA7AFwAbgBcAG4ALwAqACoAXABuACAAKgAgAFsASQBuAHQAZQByAG4AYQBsAF0AIABVAG4AcwBhAGYAZQAsACAAaABpAGcAaAAtAHAAZQByAGYAbwByAG0AYQBuAGMAZQAgAHQAZQB4AHQAIABtAHUAbAB0AGkAcABsAGkAYwBhAHQAaQBvAG4AIABmAG8AcgAgAG4AbwByAG0AYQBsAGkAcwBlAGQALAAgAHAAbwBzAGkAdABpAHYAZQAgAEIAaQBnAEkAbgB0ACAAcwB0AHIAaQBuAGcAcwAuAFwAbgAgACoAIABCAHkAcABhAHMAcwBlAHMAIABMAGEAeQBlAHIAIAAwACAAdgBhAGwAaQBkAGEAdABpAG8AbgAuACAASQBtAHAAbABlAG0AZQBuAHQAcwAgAHMAdAByAGkAYwB0ACAAcwBoAG8AcgB0AC0AYwBpAHIAYwB1AGkAdABzACAAZgBvAHIAIABwAGEAZABkAGkAbgBnACAAbwBwAHQAaQBtAGkAegBhAHQAaQBvAG4ALgBcAG4AIAAqACAAQABwAGEAcgBhAG0AIABuAG8AcgBtAF8AYQBcAG4AIAAqACAAQABwAGEAcgBhAG0AIABuAG8AcgBtAF8AYgBcAG4AIAAqAC8AXABuAFUAVABlAHgAdABNAHUAbAAgAD0AIABMAEEATQBCAEQAQQAoAG4AbwByAG0AXwBhACwAIABuAG8AcgBtAF8AYgAsAFwAbgAgACAAIAAgAEkARgAoAE8AUgAoAG4AbwByAG0AXwBhACAAPQAgAFwAIgAwAFwAIgAsACAAbgBvAHIAbQBfAGIAIAA9ACAAXAAiADAAXAAiACkALAAgAFwAIgAwAFwAIgAsAFwAbgAgACAAIAAgAEkARgAoAG4AbwByAG0AXwBhACAAPQAgAFwAIgAxAFwAIgAsACAAbgBvAHIAbQBfAGIALABcAG4AIAAgACAAIABJAEYAKABuAG8AcgBtAF8AYgAgAD0AIABcACIAMQBcACIALAAgAG4AbwByAG0AXwBhACwAXABuACAAIAAgACAAIAAgACAAIABMAEUAVAAoAFwAbgAgACAAIAAgACAAIAAgACAAIAAgACAAIABsAGUAbgBfAGEALAAgAEwARQBOACgAbgBvAHIAbQBfAGEAKQAsAFwAbgAgACAAIAAgACAAIAAgACAAIAAgACAAIABsAGUAbgBfAGIALAAgAEwARQBOACgAbgBvAHIAbQBfAGIAKQAsAFwAbgAgACAAIAAgACAAIAAgACAAIAAgACAAIABrACwAIABjAG8AcgBlAF8AQgBpAGcASQBuAHQALgBTAGEAZgBlAEsAKABcACIATQBVAEwAXAAiACwAIABNAEkATgAoAGwAZQBuAF8AYQAsACAAbABlAG4AXwBiACkAKQAsAFwAbgAgACAAIAAgACAAIAAgACAAIAAgACAAIABcAG4AIAAgACAAIAAgACAAIAAgACAAIAAgACAAbABpAG0AYgBzAF8AYQAsACAAYwBvAHIAZQBfAEIAaQBnAEkAbgB0AC4AUwBwAGwAaQB0ACgAbgBvAHIAbQBfAGEALAAgAGsAKQAsAFwAbgAgACAAIAAgACAAIAAgACAAIAAgACAAIABsAGkAbQBiAHMAXwBiACwAIABjAG8AcgBlAF8AQgBpAGcASQBuAHQALgBTAHAAbABpAHQAKABuAG8AcgBtAF8AYgAsACAAawApACwAXABuACAAIAAgACAAIAAgACAAIAAgACAAIAAgAFwAbgAgACAAIAAgACAAIAAgACAAIAAgACAAIABmAGkAbgBhAGwAXwBsAGkAbQBiAHMALAAgAGMAbwByAGUAXwBCAGkAZwBJAG4AdAAuAFUATQB1AGwAKABsAGkAbQBiAHMAXwBhACwAIABsAGkAbQBiAHMAXwBiACwAIABrACkALABcAG4AIAAgACAAIAAgACAAIAAgACAAIAAgACAAXABuACAAIAAgACAAIAAgACAAIAAgACAAIAAgAGMAbwByAGUAXwBCAGkAZwBJAG4AdAAuAE0AZQByAGcAZQAoAGYAaQBuAGEAbABfAGwAaQBtAGIAcwAsACAAawApAFwAbgAgACAAIAAgACAAIAAgACAAKQBcAG4AIAAgACAAIAApACkAKQBcAG4AKQA7AFwAbgBcAG4ALwAqACoAXABuACAAKgAgAFsASQBuAHQAZQByAG4AYQBsAF0AIABWAGUAYwB0AG8AcgBpAHoAZQBkACAAbABvAGcAYQByAGkAdABoAG0AaQBjACAAcAByAG8AZAB1AGMAdAAgAG8AZgAgAGEAbgAgAGEAcgByAGEAeQAgAG8AZgAgAEIAaQBnAEkAbgB0ACAAcwB0AHIAaQBuAGcAcwAuAFwAbgAgACoAIABSAGUAYwB1AHIAcwBpAHYAZQBsAHkAIABjAHUAdABzACAAdABoAGUAIABhAHIAcgBhAHkAIABpAG4AIABoAGEAbABmACAAdABvACAAYgB5AHAAYQBzAHMAIABSAEUARABVAEMARQAgAHMAZQBxAHUAZQBuAHQAaQBhAGwAIABtAGUAbQBvAHIAeQAgAGEAbABsAG8AYwBhAHQAaQBvAG4AcwAuAFwAbgAgACoAIABAAHAAYQByAGEAbQAgAGEAcgByAF8AcwB0AHIAaQBuAGcAcwAgAEEAIAAxAEQAIAB2AGUAcgB0AGkAYwBhAGwAIABhAHIAcgBhAHkAIABvAGYAIABCAGkAZwBJAG4AdAAgAHMAdAByAGkAbgBnAHMALgBcAG4AIAAqAC8AXABuAFQAZQB4AHQAVAByAGUAZQBQAHIAbwBkACAAPQAgAEwAQQBNAEIARABBACgAYQByAHIAXwBzAHQAcgBpAG4AZwBzACwAXABuACAAIAAgACAATABFAFQAKABcAG4AIAAgACAAIAAgACAAIAAgAG4AdQBtAF8AZQBsAGUAbQBlAG4AdABzACwAIABSAE8AVwBTACgAYQByAHIAXwBzAHQAcgBpAG4AZwBzACkALABcAG4AIAAgACAAIAAgACAAIAAgAFwAbgAgACAAIAAgACAAIAAgACAASQBGACgAbgB1AG0AXwBlAGwAZQBtAGUAbgB0AHMAIAA9ACAAMQAsACAASQBOAEQARQBYACgAYQByAHIAXwBzAHQAcgBpAG4AZwBzACwAIAAxACwAIAAxACkALABcAG4AIAAgACAAIAAgACAAIAAgACAAIAAgACAATABFAFQAKABcAG4AIAAgACAAIAAgACAAIAAgACAAIAAgACAAIAAgACAAIAAvAC8AIABSAGUAcwBoAGEAcABlACAAYQByAHIAYQB5ACAAaQBuAHQAbwAgAHAAYQBpAHIAcwAuACAATwBkAGQALQBsAGUAbgBnAHQAaAAgAGEAcgByAGEAeQBzACAAYQByAGUAIABzAGEAZgBlAGwAeQAgAHAAYQBkAGQAZQBkACAAdwBpAHQAaAAgAHQAaABlACAAbQB1AGwAdABpAHAAbABpAGMAYQB0AGkAdgBlACAAaQBkAGUAbgB0AGkAdAB5ACAAXAAiADEAXAAiAFwAbgAgACAAIAAgACAAIAAgACAAIAAgACAAIAAgACAAIAAgAHAAYQBpAHIAZQBkAF8AcwB0AHIAaQBuAGcAcwAsACAAVwBSAEEAUABSAE8AVwBTACgAYQByAHIAXwBzAHQAcgBpAG4AZwBzACwAIAAyACwAIABcACIAMQBcACIAKQAsAFwAbgAgACAAIAAgACAAIAAgACAAIAAgACAAIAAgACAAIAAgAFwAbgAgACAAIAAgACAAIAAgACAAIAAgACAAIAAgACAAIAAgAC8ALwAgAFYAZQBjAHQAbwByAGkAegBlAGQAIABtAHUAbAB0AGkAcABsAGkAYwBhAHQAaQBvAG4AIABhAGMAcgBvAHMAcwAgAGEAbABsACAAcABhAGkAcgBzACAAcwBpAG0AdQBsAHQAYQBuAGUAbwB1AHMAbAB5AFwAbgAgACAAIAAgACAAIAAgACAAIAAgACAAIAAgACAAIAAgAHIAZQBkAHUAYwBlAGQAXwBhAHIAcgBhAHkALAAgAEIAWQBSAE8AVwAoAHAAYQBpAHIAZQBkAF8AcwB0AHIAaQBuAGcAcwAsACAATABBAE0AQgBEAEEAKAByAG8AdwAsACAAVQBUAGUAeAB0AE0AdQBsACgASQBOAEQARQBYACgAcgBvAHcALAAgADEALAAgADEAKQAsACAASQBOAEQARQBYACgAcgBvAHcALAAgADEALAAgADIAKQApACkAKQAsAFwAbgAgACAAIAAgACAAIAAgACAAIAAgACAAIAAgACAAIAAgAFwAbgAgACAAIAAgACAAIAAgACAAIAAgACAAIAAgACAAIAAgAC8ALwAgAFMAaABhAGwAbABvAHcAIAByAGUAYwB1AHIAcwBpAG8AbgBcAG4AIAAgACAAIAAgACAAIAAgACAAIAAgACAAIAAgACAAIABjAG8AcgBlAF8AQgBpAGcASQBuAHQALgBUAGUAeAB0AFQAcgBlAGUAUAByAG8AZAAoAHIAZQBkAHUAYwBlAGQAXwBhAHIAcgBhAHkAKQBcAG4AIAAgACAAIAAgACAAIAAgACAAIAAgACAAKQBcAG4AIAAgACAAIAAgACAAIAAgACkAXABuACAAIAAgACAAKQBcAG4AKQA7AFwAbgBcAG4ALwAqACoAXABuACAAKgAgAFsASQBuAHQAZQByAG4AYQBsAF0AIABDAGEAbABjAHUAbABhAHQAZQBzACAAdABoAGUAIABlAHgAcABvAG4AZQBuAHQAIABmAG8AcgAgAGEAbgAgAGEAcgByAGEAeQAgAG8AZgAgAHAAcgBpAG0AZQBzACAAaQBuACAAdABoAGUAIABTAHcAaQBuAGcAIAB0AGUAcgBtACAAbwBmACAAYQAgAGYAYQBjAHQAbwByAGkAYQBsAC4AXABuACAAKgAgAEAAcABhAHIAYQBtACAAbgAgAFQAaABlACAAYwB1AHIAcgBlAG4AdAAgAGYAYQBjAHQAbwByAGkAYQBsACAAbQBhAGcAbgBpAHQAdQBkAGUAIAAoADwAPQAgADkAMgA3ADMAKQAuAFwAbgAgACoAIABAAHAAYQByAGEAbQAgAHAAcgBpAG0AZQBzACAAQQAgAHYAZQByAHQAaQBjAGEAbAAgAGEAcgByAGEAeQAgAG8AZgAgAHAAcgBpAG0AZQAgAG4AdQBtAGIAZQByAHMAIAAoADwAPQAgAG4AKQAuAFwAbgAgACoALwBcAG4ATgBhAHQAaQB2AGUAUwB3AGkAbgBnAEUAeABwAG8AbgBlAG4AdABzACAAPQAgAEwAQQBNAEIARABBACgAbgAsACAAcAByAGkAbQBlAHMALABcAG4AIAAgACAAIABNAEEAUAAoAHAAcgBpAG0AZQBzACwAIABMAEEATQBCAEQAQQAoAHAALABcAG4AIAAgACAAIAAgACAAIAAgAEwARQBUACgAXABuACAAIAAgACAAIAAgACAAIAAgACAAIAAgAG0AYQB4AF8AcABvAHcAZQByAF8AawAsACAASQBOAFQAKABMAE8ARwAoAG4ALAAgAHAAKQApACwAXABuACAAIAAgACAAIAAgACAAIAAgACAAIAAgAHAAcgBpAG0AZQBfAHAAbwB3AGUAcgBzACwAIABwACAAXgAgAFMARQBRAFUARQBOAEMARQAoAG0AYQB4AF8AcABvAHcAZQByAF8AawApACwAXABuACAAIAAgACAAIAAgACAAIAAgACAAIAAgAFMAVQBNACgATQBPAEQAKABJAE4AVAAoAG4AIAAvACAAcAByAGkAbQBlAF8AcABvAHcAZQByAHMAKQAsACAAMgApACkAXABuACAAIAAgACAAIAAgACAAIAApAFwAbgAgACAAIAAgACkAKQBcAG4AKQA7AFwAbgBcAG4ALwAqACoAXABuACAAKgAgAFsASQBuAHQAZQByAG4AYQBsAF0AIABDAGEAbABjAHUAbABhAHQAZQBzACAAdABoAGUAIABtAGEAcwBzAGkAdgBlACAAQgBpAGcASQBuAHQAIABzAHQAcgBpAG4AZwAgAGYAbwByACAAdABoAGUAIABTAHcAaQBuAGcAIAB0AGUAcgBtACAAbwBmACAAYQAgAGYAYQBjAHQAbwByAGkAYQBsAC4AXABuACAAKgAgAEAAcABhAHIAYQBtACAAbgAgAFQAaABlACAAYwB1AHIAcgBlAG4AdAAgAGYAYQBjAHQAbwByAGkAYQBsACAAbQBhAGcAbgBpAHQAdQBkAGUALgBcAG4AIAAqACAAQABwAGEAcgBhAG0AIAB0AGkAZQByAF8AcAByAGkAbQBlAHMAIABBACAAdgBlAHIAdABpAGMAYQBsACAAYQByAHIAYQB5ACAAbwBmACAAcAByAGkAbQBlACAAbgB1AG0AYgBlAHIAcwAgACgAPAA9ACAAbgApAC4AXABuACAAKgAvAFwAbgBTAHcAaQBuAGcAVABlAHIAbQAgAD0AIABMAEEATQBCAEQAQQAoAG4ALAAgAHQAaQBlAHIAXwBwAHIAaQBtAGUAcwAsAFwAbgAgACAAIAAgAEwARQBUACgAXABuACAAIAAgACAAIAAgACAAIABzAHcAaQBuAGcAXwBlAHgAcABvAG4AZQBuAHQAcwAsACAAYwBvAHIAZQBfAEIAaQBnAEkAbgB0AC4ATgBhAHQAaQB2AGUAUwB3AGkAbgBnAEUAeABwAG8AbgBlAG4AdABzACgAbgAsACAAdABpAGUAcgBfAHAAcgBpAG0AZQBzACkALABcAG4AIAAgACAAIAAgACAAIAAgAGgAYQBzAF8AbgBhAHQAaQB2AGUAXwBlAHgAcABvAG4AZQBuAHQALAAgAHMAdwBpAG4AZwBfAGUAeABwAG8AbgBlAG4AdABzACAAPgAgADAALABcAG4AIAAgACAAIAAgACAAIAAgAFwAbgAgACAAIAAgACAAIAAgACAALwAvACAASQBmACAAYQBsAGwAIABlAHgAcABvAG4AZQBuAHQAcwAgAGEAcgBlACAAMAAsACAAdABoAGUAIABzAHcAaQBuAGcAIAB0AGUAcgBtACAAaQBzACAAMQAuAFwAbgAgACAAIAAgACAAIAAgACAASQBGACgAQQBOAEQAKABOAE8AVAAoAGgAYQBzAF8AbgBhAHQAaQB2AGUAXwBlAHgAcABvAG4AZQBuAHQAKQApACwAIABcACIAMQBcACIALABcAG4AIAAgACAAIAAgACAAIAAgACAAIAAgACAATABFAFQAKABcAG4AIAAgACAAIAAgACAAIAAgACAAIAAgACAAIAAgACAAIABhAGMAdABpAHYAZQBfAHAAcgBpAG0AZQBzACwAIABGAEkATABUAEUAUgAoAHQAaQBlAHIAXwBwAHIAaQBtAGUAcwAsACAAaABhAHMAXwBuAGEAdABpAHYAZQBfAGUAeABwAG8AbgBlAG4AdAApACwAXABuACAAIAAgACAAIAAgACAAIAAgACAAIAAgACAAIAAgACAAYQBjAHQAaQB2AGUAXwBlAHgAcABvAG4AZQBuAHQAcwAsACAARgBJAEwAVABFAFIAKABzAHcAaQBuAGcAXwBlAHgAcABvAG4AZQBuAHQAcwAsACAAaABhAHMAXwBuAGEAdABpAHYAZQBfAGUAeABwAG8AbgBlAG4AdAApACwAXABuACAAIAAgACAAIAAgACAAIAAgACAAIAAgACAAIAAgACAAXABuACAAIAAgACAAIAAgACAAIAAgACAAIAAgACAAIAAgACAAZQB2AGEAbAB1AHQAYQB0AGUAZABfAHAAcgBpAG0AZQBfAHAAbwB3AGUAcgBzACwAIABNAEEAUAAoAGEAYwB0AGkAdgBlAF8AcAByAGkAbQBlAHMALAAgAGEAYwB0AGkAdgBlAF8AZQB4AHAAbwBuAGUAbgB0AHMALAAgAEwAQQBNAEIARABBACgAcAAsACAAZQAsACAAXABuACAAIAAgACAAIAAgACAAIAAgACAAIAAgACAAIAAgACAAIAAgACAAIABJAEYAKABlACAAPQAgADEALAAgAHAAIAAmACAAXAAiAFwAIgAsACAAQgBpAGcASQBuAHQALgBQAG8AdwAoAHAAIAAmACAAXAAiAFwAIgAsACAAZQAgACYAIABcACIAXAAiACkAKQBcAG4AIAAgACAAIAAgACAAIAAgACAAIAAgACAAIAAgACAAIAApACkALABcAG4AIAAgACAAIAAgACAAIAAgACAAIAAgACAAIAAgACAAIABcAG4AIAAgACAAIAAgACAAIAAgACAAIAAgACAAIAAgACAAIABjAG8AcgBlAF8AQgBpAGcASQBuAHQALgBUAGUAeAB0AFQAcgBlAGUAUAByAG8AZAAoAGUAdgBhAGwAdQB0AGEAdABlAGQAXwBwAHIAaQBtAGUAXwBwAG8AdwBlAHIAcwApAFwAbgAgACAAIAAgACAAIAAgACAAIAAgACAAIAApAFwAbgAgACAAIAAgACAAIAAgACAAKQBcAG4AIAAgACAAIAApAFwAbgApADsAXABuAFwAbgAvACoAKgBcAG4AIAAqACAAWwBJAG4AdABlAHIAbgBhAGwAXQAgAFIAZQBjAHUAcgBzAGkAdgBlACAAdABvAHAALQBkAG8AdwBuACAATABBAE0AQgBEAEEAIABjAGEAbABjAHUAbABhAHQAaQBuAGcAIAB0AGgAZQAgAFAAcgBpAG0AZQAgAFMAdwBpAG4AZwAgAGYAYQBjAHQAbwByAGkAYQBsAC4AXABuACAAKgAgAEAAcABhAHIAYQBtACAAbgAgAFQAaABlACAAYwB1AHIAcgBlAG4AdAAgAGYAYQBjAHQAbwByAGkAYQBsACAAbQBhAGcAbgBpAHQAdQBkAGUALgBcAG4AIAAqACAAQABwAGEAcgBhAG0AIABnAGwAbwBiAGEAbABfAHAAcgBpAG0AZQBzACAAVABoAGUAIAB1AG4AaQBmAGkAZQBkACAAdgBlAHIAdABpAGMAYQBsACAAYQByAHIAYQB5ACAAbwBmACAAYQBsAGwAIABwAHIAaQBtAGUAcwAgAHUAcAAgAHQAbwAgAHQAaABlACAAdABhAHIAZwBlAHQAIABmAGEAYwB0AG8AcgBpAGEAbAAuAFwAbgAgACoALwBcAG4AUAByAGkAbQBlAFMAdwBpAG4AZwBLAGUAcgBuAGUAbAAgAD0AIABMAEEATQBCAEQAQQAoAG4ALAAgAGcAbABvAGIAYQBsAF8AcAByAGkAbQBlAHMALABcAG4AIAAgACAAIABJAEYAKABuACAAPAAgADIALAAgAFwAIgAxAFwAIgAsAFwAbgAgACAAIAAgACAAIAAgACAATABFAFQAKABcAG4AIAAgACAAIAAgACAAIAAgACAAIAAgACAAZgBsAG8AbwByAF8AaABhAGwAZgBfAG4ALAAgAEkATgBUACgAbgAgAC8AIAAyACkALABcAG4AIAAgACAAIAAgACAAIAAgACAAIAAgACAAZgBhAGMAdABvAHIAaQBhAGwAXwBoAGEAbABmAF8AbgAsACAAYwBvAHIAZQBfAEIAaQBnAEkAbgB0AC4AUAByAGkAbQBlAFMAdwBpAG4AZwBLAGUAcgBuAGUAbAAoAGYAbABvAG8AcgBfAGgAYQBsAGYAXwBuACwAIABnAGwAbwBiAGEAbABfAHAAcgBpAG0AZQBzACkALABcAG4AIAAgACAAIAAgACAAIAAgACAAIAAgACAAXABuACAAIAAgACAAIAAgACAAIAAgACAAIAAgAC8ALwAgAFMAcQB1AGEAcgBlACAAdABoAGUAIABoAGEAbABmAHcAYQB5ACAAcABvAGkAbgB0ACAAdQBzAGkAbgBnACAAdABoAGUAIAB1AG4AcwBhAGYAZQAgAGsAZQByAG4AZQBsAFwAbgAgACAAIAAgACAAIAAgACAAIAAgACAAIABzAHEAdQBhAHIAZQBkAF8AaABhAGwAZgBfAGYAYQBjAHQAbwByAGkAYQBsACwAIABjAG8AcgBlAF8AQgBpAGcASQBuAHQALgBVAFQAZQB4AHQATQB1AGwAKABmAGEAYwB0AG8AcgBpAGEAbABfAGgAYQBsAGYAXwBuACwAIABmAGEAYwB0AG8AcgBpAGEAbABfAGgAYQBsAGYAXwBuACkALABcAG4AIAAgACAAIAAgACAAIAAgACAAIAAgACAAXABuACAAIAAgACAAIAAgACAAIAAgACAAIAAgAC8ALwAgAEkAcwBvAGwAYQB0AGUAIAB0AGgAZQAgAHAAcgBpAG0AZQBzACAAbgBlAGUAZABlAGQAIABmAG8AcgAgAHQAaABpAHMAIAB0AGkAZQByACAAYQBuAGQAIABjAGEAbABjAHUAbABhAHQAZQAgAHQAaABlACAAcwB3AGkAbgBnACAAdABlAHIAbQBcAG4AIAAgACAAIAAgACAAIAAgACAAIAAgACAAYQBwAHAAbABpAGMAYQBiAGwAZQBfAHQAaQBlAHIAXwBwAHIAaQBtAGUAcwAsACAARgBJAEwAVABFAFIAKABnAGwAbwBiAGEAbABfAHAAcgBpAG0AZQBzACwAIABnAGwAbwBiAGEAbABfAHAAcgBpAG0AZQBzACAAPAA9ACAAbgApACwAXABuACAAIAAgACAAIAAgACAAIAAgACAAIAAgAHMAdAByAF8AcwB3AGkAbgBnAF8AdABlAHIAbQAsACAAYwBvAHIAZQBfAEIAaQBnAEkAbgB0AC4AUwB3AGkAbgBnAFQAZQByAG0AKABuACwAIABhAHAAcABsAGkAYwBhAGIAbABlAF8AdABpAGUAcgBfAHAAcgBpAG0AZQBzACkALABcAG4AIAAgACAAIAAgACAAIAAgACAAIAAgACAAXABuACAAIAAgACAAIAAgACAAIAAgACAAIAAgAGMAbwByAGUAXwBCAGkAZwBJAG4AdAAuAFUAVABlAHgAdABNAHUAbAAoAHMAcQB1AGEAcgBlAGQAXwBoAGEAbABmAF8AZgBhAGMAdABvAHIAaQBhAGwALAAgAHMAdAByAF8AcwB3AGkAbgBnAF8AdABlAHIAbQApAFwAbgAgACAAIAAgACAAIAAgACAAKQBcAG4AIAAgACAAIAApAFwAbgApADsAXABuAFwAbgAvACoAKgBcAG4AIAAqACAAWwBJAG4AdABlAHIAbgBhAGwAXQAgAFIAZQBjAHUAcgBzAGkAdgBlACAAdABvAHUAcgBuAGEAbQBlAG4AdAAgAHQAcgBlAGUAIABmAG8AcgAgAE0AaQBuAC8ATQBhAHgAIABlAHYAYQBsAHUAYQB0AGkAbwBuAHMALgBcAG4AIAAqACAAQABwAGEAcgBhAG0AIABjAG8AbAAgAEEAIAAxAEQAIAB2AGUAcgB0AGkAYwBhAGwAIABhAHIAcgBhAHkAIABvAGYAIABuAG8AcgBtAGEAbABpAHoAZQBkACAAQgBpAGcASQBuAHQAIABzAHQAcgBpAG4AZwBzAC4AXABuACAAKgAgAEAAcABhAHIAYQBtACAAbQBvAGQAZQAgADEAIABmAG8AcgAgAE0AYQB4AGkAbQB1AG0ALAAgAC0AMQAgAGYAbwByACAATQBpAG4AaQBtAHUAbQAuAFwAbgAgACoALwBcAG4AVAByAGUAZQBDAG8AbQBwAGEAcgBlACAAPQAgAEwAQQBNAEIARABBACgAcwB0AHIAXwBuAG8AcgBtAHMALAAgAGMAbwBtAHAAYQByAGkAcwBvAG4AXwBtAG8AZABlACwAXABuACAAIAAgACAATABFAFQAKABcAG4AIAAgACAAIAAgACAAIAAgAG4AdQBtAF8AcgBvAHcAcwAsACAAUgBPAFcAUwAoAHMAdAByAF8AbgBvAHIAbQBzACkALABcAG4AIAAgACAAIAAgACAAIAAgAFwAbgAgACAAIAAgACAAIAAgACAASQBGACgAbgB1AG0AXwByAG8AdwBzACAAPQAgADEALAAgAEkATgBEAEUAWAAoAHMAdAByAF8AbgBvAHIAbQBzACwAIAAxACwAIAAxACkALABcAG4AIAAgACAAIAAgACAAIAAgACAAIAAgACAATABFAFQAKABcAG4AIAAgACAAIAAgACAAIAAgACAAIAAgACAAIAAgACAAIAB0AG8AdQByAG4AYQBtAGUAbgB0AF8AcABhAGkAcgBzACwAIABXAFIAQQBQAFIATwBXAFMAKABzAHQAcgBfAG4AbwByAG0AcwAsACAAMgApACwAXABuACAAIAAgACAAIAAgACAAIAAgACAAIAAgACAAIAAgACAAYwBvAG0AcABlAHQAaQB0AG8AcgBzAF8AYQAsACAAVABBAEsARQAoAHQAbwB1AHIAbgBhAG0AZQBuAHQAXwBwAGEAaQByAHMALAAgACwAIAAxACkALABcAG4AIAAgACAAIAAgACAAIAAgACAAIAAgACAAIAAgACAAIABjAG8AbQBwAGUAdABpAHQAbwByAHMAXwBiACwAIABUAEEASwBFACgAdABvAHUAcgBuAGEAbQBlAG4AdABfAHAAYQBpAHIAcwAsACAALAAgAC0AMQApACwAXABuACAAIAAgACAAIAAgACAAIAAgACAAIAAgACAAIAAgACAAXABuACAAIAAgACAAIAAgACAAIAAgACAAIAAgACAAIAAgACAAcgBvAHUAbgBkAF8AdwBpAG4AbgBlAHIAcwAsACAATQBBAFAAKABjAG8AbQBwAGUAdABpAHQAbwByAHMAXwBhACwAIABjAG8AbQBwAGUAdABpAHQAbwByAHMAXwBiACwAIABMAEEATQBCAEQAQQAoAGEALAAgAGIALABcAG4AIAAgACAAIAAgACAAIAAgACAAIAAgACAAIAAgACAAIAAgACAAIAAgAEkARgAoAEkAUwBOAEEAKABiACkALAAgAGEALABcAG4AIAAgACAAIAAgACAAIAAgACAAIAAgACAAIAAgACAAIAAgACAAIAAgACAAIAAgACAATABFAFQAKABcAG4AIAAgACAAIAAgACAAIAAgACAAIAAgACAAIAAgACAAIAAgACAAIAAgACAAIAAgACAAIAAgACAAIABjAG8AbQBwAGEAcgBpAHMAbwBuAF8AcgBlAHMAdQBsAHQALAAgAEIAaQBnAEkAbgB0AC4AQwBvAG0AcABhAHIAZQAoAGEALAAgAGIAKQAsAFwAbgAgACAAIAAgACAAIAAgACAAIAAgACAAIAAgACAAIAAgACAAIAAgACAAIAAgACAAIAAgACAAIAAgAEkARgAoAGMAbwBtAHAAYQByAGkAcwBvAG4AXwByAGUAcwB1AGwAdAAgACoAIABjAG8AbQBwAGEAcgBpAHMAbwBuAF8AbQBvAGQAZQAgAD4APQAgADAALAAgAGEALAAgAGIAKQBcAG4AIAAgACAAIAAgACAAIAAgACAAIAAgACAAIAAgACAAIAAgACAAIAAgACAAIAAgACAAKQBcAG4AIAAgACAAIAAgACAAIAAgACAAIAAgACAAIAAgACAAIAAgACAAIAAgACkAXABuACAAIAAgACAAIAAgACAAIAAgACAAIAAgACAAIAAgACAAKQApACwAXABuACAAIAAgACAAIAAgACAAIAAgACAAIAAgACAAIAAgACAAXABuACAAIAAgACAAIAAgACAAIAAgACAAIAAgACAAIAAgACAAYwBvAHIAZQBfAEIAaQBnAEkAbgB0AC4AVAByAGUAZQBDAG8AbQBwAGEAcgBlACgAcgBvAHUAbgBkAF8AdwBpAG4AbgBlAHIAcwAsACAAYwBvAG0AcABhAHIAaQBzAG8AbgBfAG0AbwBkAGUAKQBcAG4AIAAgACAAIAAgACAAIAAgACAAIAAgACAAKQBcAG4AIAAgACAAIAAgACAAIAAgACkAXABuACAAIAAgACAAKQBcAG4AKQA7ACIAfQAsAHsAIgBwAGEAdABoACIAOgAiAC8AcAByAG8AagBlAGMAdABzAC8AQgBpAGcASQBuAHQAIgAsACIAdABlAHgAdAAiADoAIgAvAC8ALwAvAC8ALwAvAC8ALwAvAC8ALwAvAC8ALwAvAC8ALwAvAC8ALwAvAC8ALwAvAC8ALwAvAC8ALwAvAC8ALwAvAC8ALwBcAG4ALwAvACAAQgBpAGcAIABJAG4AdABlAGcAZQByACAAQQByAGkAdABoAG0AZQB0AGkAYwAgAEwAaQBiAHIAYQByAHkAIAAvAC8AXABuAC8ALwAgACAAIAAgACAAIAAgACAAQgBpAGcASQBuAHQAIABNAG8AZAB1AGwAZQAgACAAIAAgACAAIAAgACAAIAAgACAALwAvAFwAbgAvAC8AIAAgACAAIAAgACAAIAAgACAAIABQAHUAYgBsAGkAYwAgAEEAUABJACAAIAAgACAAIAAgACAAIAAgACAAIAAgAC8ALwBcAG4ALwAvAC8ALwAvAC8ALwAvAC8ALwAvAC8ALwAvAC8ALwAvAC8ALwAvAC8ALwAvAC8ALwAvAC8ALwAvAC8ALwAvAC8ALwAvAC8AXABuAFwAbgAvACoAKgBcAG4AIAAqACAATgBvAHIAbQBhAGwAaQBzAGUAcwAgAGEAIABCAGkAZwBJAG4AdAAgAHMAdAByAGkAbgBnAC4AIABTAHQAcgBpAHAAcwAgAGwAZQBhAGQAaQBuAGcAIAB6AGUAcgBvAHMALAAgAHIAZQBzAG8AbAB2AGUAcwAgAFwAIgAtADAAXAAiACAAdABvACAAXAAiADAAXAAiACwAIABhAG4AZAAgAHQAaAByAG8AdwBzACAAIwBWAEEATABVAEUAIQAgAG8AbgAgAGkAbgB2AGEAbABpAGQAIABjAGgAYQByAGEAYwB0AGUAcgBzAC4AXABuACAAKgAgAEAAcABhAHIAYQBtACAAaQBuAHAAdQB0ACAAVABoAGUAIABCAGkAZwBJAG4AdAAgAHMAdAByAGkAbgBnAC4AXABuACAAKgAvAFwAbgBOAG8AcgBtACAAPQAgAEwAQQBNAEIARABBACgAaQBuAHAAdQB0ACwAXABuACAAIAAgACAATABFAFQAKABcAG4AIAAgACAAIAAgACAAIAAgAHMAdAByAF8AaQBuAHAAdQB0ACwAIABJAEYAKABPAFIAKABJAFMATwBNAEkAVABUAEUARAAoAGkAbgBwAHUAdAApACwAIABpAG4AcAB1AHQAIAA9ACAAXAAiAFwAIgApACwAIABcACIAMABcACIALAAgAGkAbgBwAHUAdAAgACYAIABcACIAXAAiACkALABcAG4AIAAgACAAIAAgACAAIAAgAGkAcwBfAHYAYQBsAHUAZQBfAGYAbwByAG0AYQB0ACwAIABSAEUARwBFAFgAVABFAFMAVAAoAHMAdAByAF8AaQBuAHAAdQB0ACwAIABcACIAXgAtAD8AXABcAGQAKwAkAFwAIgApACwAXABuACAAIAAgACAAIAAgACAAIABzAHQAcgBfAG4AbwByAG0ALAAgAFIARQBHAEUAWABSAEUAUABMAEEAQwBFACgAcwB0AHIAXwBpAG4AcAB1AHQALAAgAFwAIgBeACgALQA/ACkAMAArACgAPwA9AFwAXABkACkAXAAiACwAIABcACIAJAAxAFwAIgApACwAXABuAFwAbgAgACAAIAAgACAAIAAgACAASQBGACgATgBPAFQAKABpAHMAXwB2AGEAbAB1AGUAXwBmAG8AcgBtAGEAdAApACwAIABWAEEATABVAEUAKABcACIAIwBWAEEATABVAEUAIQBcACIAKQAsACAASQBGACgAcwB0AHIAXwBuAG8AcgBtACAAPQAgAFwAIgAtADAAXAAiACwAIABcACIAMABcACIALAAgAHMAdAByAF8AbgBvAHIAbQApACkAXABuACAAIAAgACAAKQBcAG4AKQA7AFwAbgBcAG4ALwAqACoAXABuACAAKgAgAFIAZQB0AHUAcgBuAHMAIAB0AGgAZQAgAHMAaQBnAG4AIABvAGYAIABhACAAQgBpAGcASQBuAHQAOgAgADEAIAAoAHAAbwBzAGkAdABpAHYAZQApACwAIAAtADEAIAAoAG4AZQBnAGEAdABpAHYAZQApACwAIABvAHIAIAAwACAAKAB6AGUAcgBvACkALgBcAG4AIAAqACAAQABwAGEAcgBhAG0AIABiAGkAZwBfAGkAbgB0ACAAVABoAGUAIABCAGkAZwBJAG4AdAAgAHMAdAByAGkAbgBnAC4AXABuACAAKgAvAFwAbgBTAGkAZwBuACAAPQAgAEwAQQBNAEIARABBACgAaQBuAHAAdQB0ACwAIABcAG4AIAAgACAAIABMAEUAVAAoAFwAbgAgACAAIAAgACAAIAAgACAAcwB0AHIAXwBuAG8AcgBtACwAIABOAG8AcgBtACgAaQBuAHAAdQB0ACkALABcAG4AIAAgACAAIAAgACAAIAAgAFMAVwBJAFQAQwBIACgATABFAEYAVAAoAHMAdAByAF8AbgBvAHIAbQApACwAXABuACAAIAAgACAAIAAgACAAIAAgACAAIAAgAFwAIgAwAFwAIgAsACAAMAAsAFwAbgAgACAAIAAgACAAIAAgACAAIAAgACAAIABcACIALQBcACIALAAgAC0AMQAsAFwAbgAgACAAIAAgACAAIAAgACAAIAAgACAAIAAxAFwAbgAgACAAIAAgACAAIAAgACAAKQBcAG4AIAAgACAAIAApAFwAbgApADsAXABuAFwAbgAvAC8AIAAtAC0ALQAgAFAAcgBlAGQAaQBjAGEAdABlAHMAIAAtAC0ALQAgAFwAXABcAFwAXABuAFwAbgAvACoAKgBcAG4AIAAqACAAUgBlAHQAdQByAG4AcwAgAFQAUgBVAEUAIABpAGYAIAB0AGgAZQAgAEIAaQBnAEkAbgB0ACAAaQBzACAAZQB4AGEAYwB0AGwAeQAgAHoAZQByAG8ALgBcAG4AIAAqACAAQABwAGEAcgBhAG0AIABpAG4AcAB1AHQAIABUAGgAZQAgAEIAaQBnAEkAbgB0ACAAcwB0AHIAaQBuAGcALgBcAG4AIAAqAC8AXABuAEkAcwBaAGUAcgBvACAAPQAgAEwAQQBNAEIARABBACgAaQBuAHAAdQB0ACwAIABOAG8AcgBtACgAaQBuAHAAdQB0ACkAIAA9ACAAXAAiADAAXAAiACkAOwBcAG4AXABuAC8AKgAqAFwAbgAgACoAIABSAGUAdAB1AHIAbgBzACAAVABSAFUARQAgAGkAZgAgAHQAaABlACAAQgBpAGcASQBuAHQAIABpAHMAIABuAGUAZwBhAHQAaQB2AGUALgBcAG4AIAAqACAAQABwAGEAcgBhAG0AIABpAG4AcAB1AHQAIABUAGgAZQAgAEIAaQBnAEkAbgB0ACAAcwB0AHIAaQBuAGcALgBcAG4AIAAqAC8AXABuAEkAcwBOAGUAZwAgAD0AIABMAEEATQBCAEQAQQAoAGkAbgBwAHUAdAAsACAATABFAEYAVAAoAE4AbwByAG0AKABpAG4AcAB1AHQAKQApACAAPQAgAFwAIgAtAFwAIgApADsAXABuAFwAbgAvACoAKgBcAG4AIAAqACAAUgBlAHQAdQByAG4AcwAgAFQAUgBVAEUAIABpAGYAIAB0AGgAZQAgAEIAaQBnAEkAbgB0ACAAaQBzACAAZQB2AGUAbgAuAFwAbgAgACoAIABAAHAAYQByAGEAbQAgAGkAbgBwAHUAdAAgAFQAaABlACAAQgBpAGcASQBuAHQAIABzAHQAcgBpAG4AZwAuAFwAbgAgACoALwBcAG4ASQBzAEUAdgBlAG4AIAA9ACAATABBAE0AQgBEAEEAKABpAG4AcAB1AHQALAAgAEkAUwBFAFYARQBOACgAVgBBAEwAVQBFACgAUgBJAEcASABUACgATgBvAHIAbQAoAGkAbgBwAHUAdAApACkAKQApACkAOwBcAG4AXABuAC8AKgAqAFwAbgAgACoAIABSAGUAdAB1AHIAbgBzACAAVABSAFUARQAgAGkAZgAgAHQAaABlACAAQgBpAGcASQBuAHQAIABpAHMAIABvAGQAZAAuAFwAbgAgACoAIABAAHAAYQByAGEAbQAgAGkAbgBwAHUAdAAgAFQAaABlACAAQgBpAGcASQBuAHQAIABzAHQAcgBpAG4AZwAuAFwAbgAgACoALwBcAG4ASQBzAE8AZABkACAAPQAgAEwAQQBNAEIARABBACgAaQBuAHAAdQB0ACwAIABJAFMATwBEAEQAKABWAEEATABVAEUAKABSAEkARwBIAFQAKABOAG8AcgBtACgAaQBuAHAAdQB0ACkAKQApACkAKQA7AFwAbgBcAG4ALwAqACoAXABuACAAKgAgAFIAZQB0AHUAcgBuAHMAIAB0AGgAZQAgAHUAbgBzAGkAZwBuAGUAZAAgAG0AYQBnAG4AaQB0AHUAZABlACAAbwBmACAAYQAgAEIAaQBnAEkAbgB0ACAAcwB0AHIAaQBuAGcAIAAoAGEAYgBzAG8AbAB1AHQAZQAgAHYAYQBsAHUAZQApAC4AXABuACAAKgAgAEAAcABhAHIAYQBtACAAaQBuAHAAdQB0ACAAVABoAGUAIABCAGkAZwBJAG4AdAAgAHMAdAByAGkAbgBnAC4AXABuACAAKgAvAFwAbgBBAGIAcwAgAD0AIABMAEEATQBCAEQAQQAoAGkAbgBwAHUAdAAsACAAXABuACAAIAAgACAATABFAFQAKABcAG4AIAAgACAAIAAgACAAIAAgAHMAdAByAF8AbgBvAHIAbQAsACAATgBvAHIAbQAoAGkAbgBwAHUAdAApACwAXABuACAAIAAgACAAIAAgACAAIABJAEYAKABMAEUARgBUACgAcwB0AHIAXwBuAG8AcgBtACkAIAA9ACAAXAAiAC0AXAAiACwAIABNAEkARAAoAHMAdAByAF8AbgBvAHIAbQAsACAAMgAsACAATABFAE4AKABzAHQAcgBfAG4AbwByAG0AKQAgAC0AIAAxACkALAAgAHMAdAByAF8AbgBvAHIAbQApAFwAbgAgACAAIAAgACkAXABuACkAOwBcAG4AXABuAC8AKgAqAFwAbgAgACoAIABDAG8AbQBwAGEAcgBlAHMAIAB0AHcAbwAgAEIAaQBnAEkAbgB0ACAAcwB0AHIAaQBuAGcAcwAuACAAUgBlAHQAdQByAG4AcwAgADEAIAAoAGEAIAA+ACAAYgApACwAIAAtADEAIAAoAGEAIAA8ACAAYgApACwAIABvAHIAIAAwACAAKABhACAAPQAgAGIAKQAuAFwAbgAgACoAIABFAHYAYQBsAHUAYQB0AGUAcwAgAHMAaQBnAG4AcwAgAGEAbgBkACAAbABlAG4AZwB0AGgAcwAuACAASQBmACAAaQBkAGUAbgB0AGkAYwBhAGwALAAgAGQAZQBsAGUAZwBhAHQAZQBzACAAdABvACAAbgBhAHQAaQB2AGUAIABsAGkAbQBiACAAYQByAHIAYQB5ACAAYwBvAG0AcABhAHIAaQBzAG8AbgAuAFwAbgAgACoAIABAAHAAYQByAGEAbQAgAGkAbgBwAHUAdABfAGEAIABUAGgAZQAgAGYAaQByAHMAdAAgAEIAaQBnAEkAbgB0ACAAcwB0AHIAaQBuAGcALgBcAG4AIAAqACAAQABwAGEAcgBhAG0AIABpAG4AcAB1AHQAXwBiACAAVABoAGUAIABzAGUAYwBvAG4AZAAgAEIAaQBnAEkAbgB0ACAAcwB0AHIAaQBuAGcALgBcAG4AIAAqAC8AXABuAEMAbwBtAHAAYQByAGUAIAA9ACAATABBAE0AQgBEAEEAKABpAG4AcAB1AHQAXwBhACwAIABpAG4AcAB1AHQAXwBiACwAXABuACAAIAAgACAATABFAFQAKABcAG4AIAAgACAAIAAgACAAIAAgAHMAdAByAF8AbgBvAHIAbQBfAGEALAAgAE4AbwByAG0AKABpAG4AcAB1AHQAXwBhACkALABcAG4AIAAgACAAIAAgACAAIAAgAHMAdAByAF8AbgBvAHIAbQBfAGIALAAgAE4AbwByAG0AKABpAG4AcAB1AHQAXwBiACkALABcAG4AIAAgACAAIAAgACAAIAAgAHMAaQBnAG4AXwBhACwAIABCAGkAZwBJAG4AdAAuAFMAaQBnAG4AKABzAHQAcgBfAG4AbwByAG0AXwBhACkALABcAG4AIAAgACAAIAAgACAAIAAgAHMAaQBnAG4AXwBiACwAIABCAGkAZwBpAG4AdAAuAFMAaQBnAG4AKABzAHQAcgBfAG4AbwByAG0AXwBiACkALABcAG4AXABuACAAIAAgACAAIAAgACAAIABJAEYAKABzAGkAZwBuAF8AYQAgADwAPgAgAHMAaQBnAG4AXwBiACwAXABuACAAIAAgACAAIAAgACAAIAAgACAAIAAgAFMASQBHAE4AKABzAGkAZwBuAF8AYQAgAC0AIABzAGkAZwBuAF8AYgApACwAXABuACAAIAAgACAAIAAgACAAIAAgACAAIAAgAEkARgAoAHMAaQBnAG4AXwBhACAAPQAgADAALABcAG4AIAAgACAAIAAgACAAIAAgACAAIAAgACAAIAAgACAAIAAwACwAXABuACAAIAAgACAAIAAgACAAIAAgACAAIAAgACAAIAAgACAATABFAFQAKABcAG4AIAAgACAAIAAgACAAIAAgACAAIAAgACAAIAAgACAAIAAgACAAIAAgAGwAZQBuAF8AYQAsACAATABFAE4AKABzAHQAcgBfAG4AbwByAG0AXwBhACkALABcAG4AIAAgACAAIAAgACAAIAAgACAAIAAgACAAIAAgACAAIAAgACAAIAAgAGwAZQBuAF8AYgAsACAATABFAE4AKABzAHQAcgBfAG4AbwByAG0AXwBiACkALABcAG4AIAAgACAAIAAgACAAIAAgACAAIAAgACAAIAAgACAAIAAgACAAIAAgAFwAbgAgACAAIAAgACAAIAAgACAAIAAgACAAIAAgACAAIAAgACAAIAAgACAASQBGACgAbABlAG4AXwBhACAAPAA+ACAAbABlAG4AXwBiACwAXABuACAAIAAgACAAIAAgACAAIAAgACAAIAAgACAAIAAgACAAIAAgACAAIAAgACAAIAAgAFMASQBHAE4AKABsAGUAbgBfAGEAIAAtACAAbABlAG4AXwBiACkAIAAqACAAcwBpAGcAbgBfAGEALABcAG4AIAAgACAAIAAgACAAIAAgACAAIAAgACAAIAAgACAAIAAgACAAIAAgACAAIAAgACAATABFAFQAKABcAG4AIAAgACAAIAAgACAAIAAgACAAIAAgACAAIAAgACAAIAAgACAAIAAgACAAIAAgACAAIAAgACAAIABrACwAIABjAG8AcgBlAF8AQgBpAGcASQBuAHQALgBTAGEAZgBlAEsAKABcACIAQQBEAEQAXAAiACkALAAgAFwAbgAgACAAIAAgACAAIAAgACAAIAAgACAAIAAgACAAIAAgACAAIAAgACAAIAAgACAAIAAgACAAIAAgAGwAaQBtAGIAcwBfAGEALAAgAGMAbwByAGUAXwBCAGkAZwBJAG4AdAAuAFMAcABsAGkAdAAoAEIAaQBnAEkAbgB0AC4AQQBiAHMAKABzAHQAcgBfAG4AbwByAG0AXwBhACkALAAgAGsAKQAsAFwAbgAgACAAIAAgACAAIAAgACAAIAAgACAAIAAgACAAIAAgACAAIAAgACAAIAAgACAAIAAgACAAIAAgAGwAaQBtAGIAcwBfAGIALAAgAGMAbwByAGUAXwBCAGkAZwBJAG4AdAAuAFMAcABsAGkAdAAoAEIAaQBnAEkAbgB0AC4AQQBiAHMAKABzAHQAcgBfAG4AbwByAG0AXwBiACkALAAgAGsAKQAsAFwAbgAgACAAIAAgACAAIAAgACAAIAAgACAAIAAgACAAIAAgACAAIAAgACAAIAAgACAAIAAgACAAIAAgAG0AYQBnAG4AaQB0AHUAZABlAF8AYwBvAG0AcABhAHIAaQBzAG8AbgAsACAAYwBvAHIAZQBfAEIAaQBnAEkAbgB0AC4AVQBDAG8AbQBwAGEAcgBlACgAbABpAG0AYgBzAF8AYQAsACAAbABpAG0AYgBzAF8AYgApACwAXABuACAAIAAgACAAIAAgACAAIAAgACAAIAAgACAAIAAgACAAIAAgACAAIAAgACAAIAAgACAAIAAgACAAXABuACAAIAAgACAAIAAgACAAIAAgACAAIAAgACAAIAAgACAAIAAgACAAIAAgACAAIAAgACAAIAAgACAAbQBhAGcAbgBpAHQAdQBkAGUAXwBjAG8AbQBwAGEAcgBpAHMAbwBuACAAKgAgAHMAaQBnAG4AXwBhAFwAbgAgACAAIAAgACAAIAAgACAAIAAgACAAIAAgACAAIAAgACAAIAAgACAAIAAgACAAIAApAFwAbgAgACAAIAAgACAAIAAgACAAIAAgACAAIAAgACAAIAAgACAAIAAgACAAKQBcAG4AIAAgACAAIAAgACAAIAAgACAAIAAgACAAIAAgACAAIAApAFwAbgAgACAAIAAgACAAIAAgACAAIAAgACAAIAApAFwAbgAgACAAIAAgACAAIAAgACAAKQBcAG4AIAAgACAAIAApAFwAbgApADsAXABuAFwAbgAvAC8AIAAgACAAIAAgACAAIAAgACAAIAAtACAAQQBkAGQAaQB0AGkAbwBuACAAJgAgAFMAdQBiAHQAcgBhAGMAdABpAG8AbgAgAC0AIAAgACAAIAAgACAAIABcAFwAXABcAFwAbgBcAG4ALwAqACoAXABuACAAKgAgAEEAZABkAHMAIAB0AHcAbwAgAEIAaQBnAEkAbgB0ACAAcwB0AHIAaQBuAGcAcwAuAFwAbgAgACoAIABAAHAAYQByAGEAbQAgAGkAbgBwAHUAdABfAGEAIABUAGgAZQAgAGYAaQByAHMAdAAgAEIAaQBnAEkAbgB0ACAAcwB0AHIAaQBuAGcALgBcAG4AIAAqACAAQABwAGEAcgBhAG0AIABpAG4AcAB1AHQAXwBiACAAVABoAGUAIABzAGUAYwBvAG4AZAAgAEIAaQBnAEkAbgB0ACAAcwB0AHIAaQBuAGcALgBcAG4AIAAqAC8AXABuAEEAZABkACAAPQAgAEwAQQBNAEIARABBACgAaQBuAHAAdQB0AF8AYQAsACAAaQBuAHAAdQB0AF8AYgAsAFwAbgAgACAAIAAgAEwARQBUACgAXABuACAAIAAgACAAIAAgACAAIABzAHQAcgBfAG4AbwByAG0AXwBhACwAIABOAG8AcgBtACgAaQBuAHAAdQB0AF8AYQApACwAXABuACAAIAAgACAAIAAgACAAIABzAHQAcgBfAG4AbwByAG0AXwBiACwAIABOAG8AcgBtACgAaQBuAHAAdQB0AF8AYgApACwAXABuACAAIAAgACAAIAAgACAAIABzAGkAZwBuAF8AYQAsACAAQgBpAGcAaQBuAHQALgBTAGkAZwBuACgAcwB0AHIAXwBuAG8AcgBtAF8AYQApACwAXABuACAAIAAgACAAIAAgACAAIABzAGkAZwBuAF8AYgAsACAAQgBpAGcASQBuAHQALgBTAGkAZwBuACgAcwB0AHIAXwBuAG8AcgBtAF8AYgApACwAXABuACAAIAAgACAAIAAgACAAIABcAG4AIAAgACAAIAAgACAAIAAgAGsALAAgAGMAbwByAGUAXwBCAGkAZwBJAG4AdAAuAFMAYQBmAGUASwAoAFwAIgBBAEQARABcACIAKQAsAFwAbgAgACAAIAAgACAAIAAgACAAbABpAG0AYgBzAF8AYQAsACAAYwBvAHIAZQBfAEIAaQBnAEkAbgB0AC4AUwBwAGwAaQB0ACgAQgBpAGcASQBuAHQALgBBAGIAcwAoAHMAdAByAF8AbgBvAHIAbQBfAGEAKQAsACAAawApACwAXABuACAAIAAgACAAIAAgACAAIABsAGkAbQBiAHMAXwBiACwAIABjAG8AcgBlAF8AQgBpAGcASQBuAHQALgBTAHAAbABpAHQAKABCAGkAZwBJAG4AdAAuAEEAYgBzACgAcwB0AHIAXwBuAG8AcgBtAF8AYgApACwAIABrACkALABcAG4AIAAgACAAIAAgACAAIAAgAFwAbgAgACAAIAAgACAAIAAgACAAcABhAGMAawBlAGQAXwByAGUAcwB1AGwAdAAsACAAYwBvAHIAZQBfAEIAaQBnAEkAbgB0AC4AQQBkAGQAUwB1AGIAUgBvAHUAdABlAHIAKABsAGkAbQBiAHMAXwBhACwAIABsAGkAbQBiAHMAXwBiACwAIABzAGkAZwBuAF8AYQAsACAAcwBpAGcAbgBfAGIALAAgAGsAKQAsAFwAbgAgACAAIAAgACAAIAAgACAAZgBpAG4AYQBsAF8AcwBpAGcAbgAsACAAQwBIAE8ATwBTAEUAUgBPAFcAUwAoAHAAYQBjAGsAZQBkAF8AcgBlAHMAdQBsAHQALAAgAC0AMQApACwAXABuACAAIAAgACAAIAAgACAAIABmAGkAbgBhAGwAXwBsAGkAbQBiAHMALAAgAEQAUgBPAFAAKABwAGEAYwBrAGUAZABfAHIAZQBzAHUAbAB0ACwAIAAtADEAKQAsAFwAbgAgACAAIAAgACAAIAAgACAAXABuACAAIAAgACAAIAAgACAAIABzAHQAcgBfAG0AZQByAGcAZQBkACwAIABjAG8AcgBlAF8AQgBpAGcASQBuAHQALgBNAGUAcgBnAGUAKABmAGkAbgBhAGwAXwBsAGkAbQBiAHMALAAgAGsAKQAsAFwAbgAgACAAIAAgACAAIAAgACAAXABuACAAIAAgACAAIAAgACAAIABJAEYAKABmAGkAbgBhAGwAXwBzAGkAZwBuACAAPQAgAC0AMQAsACAAXAAiAC0AXAAiACAAJgAgAHMAdAByAF8AbQBlAHIAZwBlAGQALAAgAHMAdAByAF8AbQBlAHIAZwBlAGQAKQBcAG4AIAAgACAAIAApAFwAbgApADsAXABuAFwAbgAvACoAKgBcAG4AIAAqACAAUwB1AGIAdAByAGEAYwB0AHMAIAB0AGgAZQAgAHMAZQBjAG8AbgBkACAAQgBpAGcASQBuAHQAIABzAHQAcgBpAG4AZwAgAGYAcgBvAG0AIAB0AGgAZQAgAGYAaQByAHMAdAAgACgAQQAgAC0AIABCACkALgBcAG4AIAAqACAAQABwAGEAcgBhAG0AIABpAG4AcAB1AHQAXwBhACAAVABoAGUAIABtAGkAbgB1AGUAbgBkACAAQgBpAGcASQBuAHQAIABzAHQAcgBpAG4AZwAuAFwAbgAgACoAIABAAHAAYQByAGEAbQAgAGkAbgBwAHUAdABfAGIAIABUAGgAZQAgAHMAdQBiAHQAcgBhAGgAZQBuAGQAIABCAGkAZwBJAG4AdAAgAHMAdAByAGkAbgBnAC4AXABuACAAKgAvAFwAbgBTAHUAYgAgAD0AIABMAEEATQBCAEQAQQAoAGkAbgBwAHUAdABfAGEALAAgAGkAbgBwAHUAdABfAGIALABcAG4AIAAgACAAIABMAEUAVAAoAFwAbgAgACAAIAAgACAAIAAgACAAcwB0AHIAXwBuAG8AcgBtAF8AYgAsACAATgBvAHIAbQAoAGkAbgBwAHUAdABfAGIAKQAsAFwAbgAgACAAIAAgACAAIAAgACAAXABuACAAIAAgACAAIAAgACAAIAAvAC8AIABJAG4AdgBlAHIAdAAgAHQAaABlACAAcwBpAGcAbgAgAG8AZgAgAEIAIABhAHQAIAB0AGgAZQAgAHQAZQB4AHQAIABsAGUAdgBlAGwAXABuACAAIAAgACAAIAAgACAAIABzAHQAcgBfAGkAbgB2AGUAcgBzAGUAXwBiACwAIABJAEYAKABzAHQAcgBfAG4AbwByAG0AXwBiACAAPQAgAFwAIgAwAFwAIgAsACAAXAAiADAAXAAiACwAIABcAG4AIAAgACAAIAAgACAAIAAgACAAIAAgACAASQBGACgATABFAEYAVAAoAHMAdAByAF8AbgBvAHIAbQBfAGIAKQAgAD0AIABcACIALQBcACIALAAgAFwAbgAgACAAIAAgACAAIAAgACAAIAAgACAAIAAgACAAIAAgAE0ASQBEACgAcwB0AHIAXwBuAG8AcgBtAF8AYgAsACAAMgAsACAATABFAE4AKABzAHQAcgBfAG4AbwByAG0AXwBiACkAKQAsACAAXABuACAAIAAgACAAIAAgACAAIAAgACAAIAAgACAAIAAgACAAXAAiAC0AXAAiACAAJgAgAHMAdAByAF8AbgBvAHIAbQBfAGIAXABuACAAIAAgACAAIAAgACAAIAAgACAAIAAgACkAXABuACAAIAAgACAAIAAgACAAIAApACwAXABuACAAIAAgACAAIAAgACAAIABcAG4AIAAgACAAIAAgACAAIAAgAC8ALwAgAFAAYQBzAHMAIAB0AG8AIABBAGQAZABcAG4AIAAgACAAIAAgACAAIAAgAEEAZABkACgAaQBuAHAAdQB0AF8AYQAsACAAcwB0AHIAXwBpAG4AdgBlAHIAcwBlAF8AYgApAFwAbgAgACAAIAAgACkAXABuACkAOwBcAG4AXABuAC8AKgAqAFwAbgAgACoAIABTAHUAbQBzACAAYQBuACAAYQByAHIAYQB5ACAAbwByACAAcgBhAG4AZwBlACAAbwBmACAAQgBpAGcASQBuAHQAIABzAHQAcgBpAG4AZwBzACAAdgBpAGEAIAB2AGUAYwB0AG8AcgBpAHoAZQBkACAAZwByAG8AdQBwACAAbQBhAHQAcgBpAGMAZQBzAC4AXABuACAAKgAgAEAAcABhAHIAYQBtACAAaQBuAHAAdQB0AF8AcgBhAG4AZwBlACAAQQAgAGMAbwBuAHQAaQBnAHUAbwB1AHMAIAByAGEAbgBnAGUAIABvAHIAIABhAHIAcgBhAHkAIABvAGYAIABCAGkAZwBJAG4AdAAgAHMAdAByAGkAbgBnAHMALgBcAG4AIAAqAC8AXABuAFMAdQBtACAAPQAgAEwAQQBNAEIARABBACgAaQBuAHAAdQB0AF8AcgBhAG4AZwBlACwAXABuACAAIAAgACAATABFAFQAKABcAG4AIAAgACAAIAAgACAAIAAgAC8ALwAgAFMAZQB0AHUAcAAgAGYAbwByACAAbABpAHQAdABsAGUALQBlAG4AZABpAGEAbgAgAGEAbABpAGcAbgBtAGUAbgB0ACAAaQBuACAAbQBhAHQAcgBpAHgAIABzAHUAbQBcAG4AIAAgACAAIAAgACAAIAAgAGYAbABhAHQAdABlAG4AZQBkAF8AaQBuAHAAdQB0ACwAIABUAE8AUgBPAFcAKABpAG4AcAB1AHQAXwByAGEAbgBnAGUALAAgADEAKQAsAFwAbgAgACAAIAAgACAAIAAgACAAXABuACAAIAAgACAAIAAgACAAIABJAEYAKABPAFIAKABJAFMARQBSAFIATwBSACgAZgBsAGEAdAB0AGUAbgBlAGQAXwBpAG4AcAB1AHQAKQAsACAAQwBPAEwAVQBNAE4AUwAoAGYAbABhAHQAdABlAG4AZQBkAF8AaQBuAHAAdQB0ACkAIAA9ACAAMAApACwAIABcACIAMABcACIALABcAG4AIAAgACAAIAAgACAAIAAgACAAIAAgACAATABFAFQAKABcAG4AIAAgACAAIAAgACAAIAAgACAAIAAgACAAIAAgACAAIABzAHQAcgBfAG4AbwByAG0AcwAsACAATQBBAFAAKABmAGwAYQB0AHQAZQBuAGUAZABfAGkAbgBwAHUAdAAsACAATABBAE0AQgBEAEEAKAB4ACwAIABOAG8AcgBtACgAeAApACkAKQAsAFwAbgAgACAAIAAgACAAIAAgACAAIAAgACAAIAAgACAAIAAgAGEAcgByAF8AcwBpAGcAbgBzACwAIABNAEEAUAAoAEwARQBGAFQAKABzAHQAcgBfAG4AbwByAG0AcwApACwAIABMAEEATQBCAEQAQQAoAHgALAAgAEkARgAoAHgAIAA9ACAAXAAiADAAXAAiACwAIAAwACwAIABpAGYAKAB4ACAAPQAgAFwAIgAtAFwAIgAsACAALQAxACwAIAAxACkAKQApACkALABcAG4AIAAgACAAIAAgACAAIAAgACAAIAAgACAAIAAgACAAIABzAHQAcgBfAGEAYgBzACwAIABNAEEAUAAoAHMAdAByAF8AbgBvAHIAbQBzACwAIABhAHIAcgBfAHMAaQBnAG4AcwAsACAATABBAE0AQgBEAEEAKAB4ACwAIABzAGkAZwBuACwAIABJAEYAKABzAGkAZwBuACAAPQAgAC0AMQAsACAATQBJAEQAKAB4ACwAIAAyACwAIABMAEUATgAoAHgAKQAtADEAKQAsACAAeAApACkAKQAsAFwAbgAgACAAIAAgACAAIAAgACAAIAAgACAAIAAgACAAIAAgAFwAbgAgACAAIAAgACAAIAAgACAAIAAgACAAIAAgACAAIAAgAHMAdAByAF8AcABvAHMALAAgAEYASQBMAFQARQBSACgAcwB0AHIAXwBhAGIAcwAsACAAYQByAHIAXwBzAGkAZwBuAHMAIAA9ACAAMQAsACAAewBcACIAMABcACIAfQApACwAXABuACAAIAAgACAAIAAgACAAIAAgACAAIAAgACAAIAAgACAAcwB0AHIAXwBuAGUAZwBzACwAIABGAEkATABUAEUAUgAoAHMAdAByAF8AYQBiAHMALAAgAGEAcgByAF8AcwBpAGcAbgBzACAAPQAgAC0AMQAsACAAewBcACIAMABcACIAfQApACwAXABuACAAIAAgACAAIAAgACAAIAAgACAAIAAgACAAIAAgACAAXABuACAAIAAgACAAIAAgACAAIAAgACAAIAAgACAAIAAgACAAdQBuAGkAZgBpAGUAZABfAGsALAAgAGMAbwByAGUAXwBCAGkAZwBJAG4AdAAuAFMAYQBmAGUASwAoAFwAIgBBAEQARABcACIALAAgAEMATwBMAFUATQBOAFMAKABmAGwAYQB0AHQAZQBuAGUAZABfAGkAbgBwAHUAdAApACkALABcAG4AIAAgACAAIAAgACAAIAAgACAAIAAgACAAIAAgACAAIABcAG4AIAAgACAAIAAgACAAIAAgACAAIAAgACAAIAAgACAAIABsAGkAbQBiAHMAXwBwAG8AcwBfAHMAdQBtACwAIABjAG8AcgBlAF8AQgBpAGcASQBuAHQALgBVAE0AYQB0AHIAaQB4AFMAdQBtACgAcwB0AHIAXwBwAG8AcwAsACAAdQBuAGkAZgBpAGUAZABfAGsAKQAsAFwAbgAgACAAIAAgACAAIAAgACAAIAAgACAAIAAgACAAIAAgAGwAaQBtAGIAcwBfAG4AZQBnAF8AcwB1AG0ALAAgAGMAbwByAGUAXwBCAGkAZwBJAG4AdAAuAFUATQBhAHQAcgBpAHgAUwB1AG0AKABzAHQAcgBfAG4AZQBnAHMALAAgAHUAbgBpAGYAaQBlAGQAXwBrACkALABcAG4AIAAgACAAIAAgACAAIAAgACAAIAAgACAAIAAgACAAIABcAG4AIAAgACAAIAAgACAAIAAgACAAIAAgACAAIAAgACAAIABwAGEAYwBrAGUAZABfAHIAZQBzAHUAbAB0ACwAIABjAG8AcgBlAF8AQgBpAGcASQBuAHQALgBBAGQAZABTAHUAYgBSAG8AdQB0AGUAcgAoAGwAaQBtAGIAcwBfAHAAbwBzAF8AcwB1AG0ALAAgAGwAaQBtAGIAcwBfAG4AZQBnAF8AcwB1AG0ALAAgADEALAAgAC0AMQAsACAAdQBuAGkAZgBpAGUAZABfAGsAKQAsAFwAbgAgACAAIAAgACAAIAAgACAAIAAgACAAIAAgACAAIAAgAGYAaQBuAGEAbABfAHMAaQBnAG4ALAAgAEMASABPAE8AUwBFAFIATwBXAFMAKABwAGEAYwBrAGUAZABfAHIAZQBzAHUAbAB0ACwAIAAtADEAKQAsAFwAbgAgACAAIAAgACAAIAAgACAAIAAgACAAIAAgACAAIAAgAGYAaQBuAGEAbABfAGwAaQBtAGIAcwAsACAARABSAE8AUAAoAHAAYQBjAGsAZQBkAF8AcgBlAHMAdQBsAHQALAAgAC0AMQApACwAXABuACAAIAAgACAAIAAgACAAIAAgACAAIAAgACAAIAAgACAAXABuACAAIAAgACAAIAAgACAAIAAgACAAIAAgACAAIAAgACAAcwB0AHIAXwBtAGUAcgBnAGUAZAAsACAAYwBvAHIAZQBfAEIAaQBnAEkAbgB0AC4ATQBlAHIAZwBlACgAZgBpAG4AYQBsAF8AbABpAG0AYgBzACwAIAB1AG4AaQBmAGkAZQBkAF8AawApACwAXABuACAAIAAgACAAIAAgACAAIAAgACAAIAAgACAAIAAgACAAXABuACAAIAAgACAAIAAgACAAIAAgACAAIAAgACAAIAAgACAASQBGACgAZgBpAG4AYQBsAF8AcwBpAGcAbgAgAD0AIAAtADEALAAgAFwAIgAtAFwAIgAgACYAIABzAHQAcgBfAG0AZQByAGcAZQBkACwAIABzAHQAcgBfAG0AZQByAGcAZQBkACkAXABuACAAIAAgACAAIAAgACAAIAAgACAAIAAgACkAXABuACAAIAAgACAAIAAgACAAIAApAFwAbgAgACAAIAAgACkAXABuACkAOwBcAG4AXABuAC8AKgAqAFwAbgAgACoAIABNAHUAbAB0AGkAcABsAGkAZQBzACAAdAB3AG8AIABCAGkAZwBJAG4AdAAgAHMAdAByAGkAbgBnAHMALgBcAG4AIAAqACAAQABwAGEAcgBhAG0AIABpAG4AcAB1AHQAXwBhACAAVABoAGUAIABmAGkAcgBzAHQAIABCAGkAZwBJAG4AdAAgAHMAdAByAGkAbgBnAC4AXABuACAAKgAgAEAAcABhAHIAYQBtACAAaQBuAHAAdQB0AF8AYgAgAFQAaABlACAAcwBlAGMAbwBuAGQAIABCAGkAZwBJAG4AdAAgAHMAdAByAGkAbgBnAC4AXABuACAAKgAvAFwAbgBNAHUAbAAgAD0AIABMAEEATQBCAEQAQQAoAGkAbgBwAHUAdABfAGEALAAgAGkAbgBwAHUAdABfAGIALABcAG4AIAAgACAAIABMAEUAVAAoAFwAbgAgACAAIAAgACAAIAAgACAAcwB0AHIAXwBuAG8AcgBtAF8AYQAsACAATgBvAHIAbQAoAGkAbgBwAHUAdABfAGEAKQAsAFwAbgAgACAAIAAgACAAIAAgACAAcwB0AHIAXwBuAG8AcgBtAF8AYgAsACAATgBvAHIAbQAoAGkAbgBwAHUAdABfAGIAKQAsAFwAbgAgACAAIAAgACAAIAAgACAAcwBpAGcAbgBfAGEALAAgAEIAaQBnAEkAbgB0AC4AUwBpAGcAbgAoAHMAdAByAF8AbgBvAHIAbQBfAGEAKQAsAFwAbgAgACAAIAAgACAAIAAgACAAcwBpAGcAbgBfAGIALAAgAEIAaQBnAEkAbgB0AC4AUwBpAGcAbgAoAHMAdAByAF8AbgBvAHIAbQBfAGIAKQAsAFwAbgAgACAAIAAgACAAIAAgACAAbABlAG4AXwBhACwAIABMAEUATgAoAHMAdAByAF8AbgBvAHIAbQBfAGEAKQAgAC0AIABJAEYAKABzAGkAZwBuAF8AYQAgAD0AIAAtADEALAAgADEALAAgADAAKQAsAFwAbgAgACAAIAAgACAAIAAgACAAbABlAG4AXwBiACwAIABMAEUATgAoAHMAdAByAF8AbgBvAHIAbQBfAGIAKQAgAC0AIABJAEYAKABzAGkAZwBuAF8AYgAgAD0AIAAtADEALAAgADEALAAgADAAKQAsAFwAbgAgACAAIAAgACAAIAAgACAAXABuACAAIAAgACAAIAAgACAAIAAvAC8AIABQAHIAbwBkAHUAYwB0ACAAbwBmACAAdwBpAHQAaAAgADAAIABpAHMAIAAwAFwAbgAgACAAIAAgACAAIAAgACAASQBGACgATwBSACgAcwBpAGcAbgBfAGEAIAA9ACAAMAAsACAAcwBpAGcAbgBfAGIAIAA9ACAAMAApACwAIABcACIAMABcACIALABcAG4AIAAgACAAIAAgACAAIAAgAC8ALwAgAFQAaABlACAAcgBlAHMAdQBsAHQAIAB3AGkAbABsACAAZQB4AGMAZQBlAGQAIABjAGgAYQByACAAbABpAG0AaQB0AFwAbgAgACAAIAAgACAAIAAgACAASQBGACgAbABlAG4AXwBhACAAKwAgAGwAZQBuAF8AYgAgAD4AIAAzADIANwA2ADYALAAgACMATgBVAE0AIQAsAFwAbgAgACAAIAAgACAAIAAgACAAIAAgACAAIABMAEUAVAAoAFwAbgAgACAAIAAgACAAIAAgACAAIAAgACAAIAAgACAAIAAgAGsALAAgAGMAbwByAGUAXwBCAGkAZwBJAG4AdAAuAFMAYQBmAGUASwAoAFwAIgBNAFUATABcACIALAAgAE0ASQBOACgAbABlAG4AXwBhACwAIABsAGUAbgBfAGIAKQApACwAXABuACAAIAAgACAAIAAgACAAIAAgACAAIAAgACAAIAAgACAAbABpAG0AYgBzAF8AYQAsACAAYwBvAHIAZQBfAEIAaQBnAEkAbgB0AC4AUwBwAGwAaQB0ACgAQgBpAGcASQBuAHQALgBBAGIAcwAoAHMAdAByAF8AbgBvAHIAbQBfAGEAKQAsACAAawApACwAXABuACAAIAAgACAAIAAgACAAIAAgACAAIAAgACAAIAAgACAAbABpAG0AYgBzAF8AYgAsACAAYwBvAHIAZQBfAEIAaQBnAEkAbgB0AC4AUwBwAGwAaQB0ACgAQgBpAGcASQBuAHQALgBBAGIAcwAoAHMAdAByAF8AbgBvAHIAbQBfAGIAKQAsACAAawApACwAXABuACAAIAAgACAAIAAgACAAIAAgACAAIAAgACAAIAAgACAAXABuACAAIAAgACAAIAAgACAAIAAgACAAIAAgACAAIAAgACAAZgBpAG4AYQBsAF8AbABpAG0AYgBzACwAIABjAG8AcgBlAF8AQgBpAGcASQBuAHQALgBVAE0AdQBsACgAbABpAG0AYgBzAF8AYQAsACAAbABpAG0AYgBzAF8AYgAsACAAawApACwAXABuACAAIAAgACAAIAAgACAAIAAgACAAIAAgACAAIAAgACAAZgBpAG4AYQBsAF8AcwBpAGcAbgAsACAAcwBpAGcAbgBfAGEAIAAqACAAcwBpAGcAbgBfAGIALABcAG4AIAAgACAAIAAgACAAIAAgACAAIAAgACAAIAAgACAAIABcAG4AIAAgACAAIAAgACAAIAAgACAAIAAgACAAIAAgACAAIABzAHQAcgBfAG0AZQByAGcAZQBkACwAIABjAG8AcgBlAF8AQgBpAGcASQBuAHQALgBNAGUAcgBnAGUAKABmAGkAbgBhAGwAXwBsAGkAbQBiAHMALAAgAGsAKQAsAFwAbgAgACAAIAAgACAAIAAgACAAIAAgACAAIAAgACAAIAAgAFwAbgAgACAAIAAgACAAIAAgACAAIAAgACAAIAAgACAAIAAgAEkARgAoAGYAaQBuAGEAbABfAHMAaQBnAG4AIAA9ACAALQAxACwAIABcACIALQBcACIAIAAmACAAcwB0AHIAXwBtAGUAcgBnAGUAZAAsACAAcwB0AHIAXwBtAGUAcgBnAGUAZAApAFwAbgAgACAAIAAgACAAIAAgACAAIAAgACAAIAApAFwAbgAgACAAIAAgACAAIAAgACAAKQApAFwAbgAgACAAIAAgACkAXABuACkAOwBcAG4AXABuAC8AKgAqAFwAbgAgACoAIABbAFYATwBMAEEAVABJAEwARQBdACAARwBlAG4AZQByAGEAdABlAHMAIABhACAAZAB5AG4AYQBtAGkAYwAgAGEAcgByAGEAeQAgAG8AZgAgAGkAbgB0AGUAZwBlAHIAcwAgAGEAcwAgAHQAZQB4AHQALgBcAG4AIAAqACAAQABwAGEAcgBhAG0AIABbAG4AdQBtAF8AcgBvAHcAcwBdACAAYQByAHIAYQB5ACAAaABlAGkAZwBoAHQALAAgAGQAZQBmAGEAdQBsAHQAIAAxAC4AXABuACAAKgAgAEAAcABhAHIAYQBtACAAWwBuAHUAbQBfAGMAbwBsAHMAXQAgAGEAcgByAGEAeQAgAHcAaQBkAHQAaAAsACAAZABlAGYAYQB1AGwAdAAgADEALgBcAG4AIAAqACAAQABwAGEAcgBhAG0AIABbAG0AaQBuAF8AZABpAGcAaQB0AHMAXQAgAG0AaQBuAGkAbQB1AG0AIABuAHUAbQBiAGUAcgAgAG8AZgAgAGQAaQBnAGkAdABzACwAIABkAGUAZgBhAHUAbAB0ACAAMQA2ACAAKABtAGkAbgAgADEAIABkAGkAZwBpAHQAKQBcAG4AIAAqACAAQABwAGEAcgBhAG0AIABbAG0AYQB4AF8AZABpAGcAaQB0AHMAXQAgAG0AYQB4AGkAbQB1AG0AIABuAHUAbQBiAGUAcgAgAG8AZgAgAGQAaQBnAGkAdABzACwAIABkAGUAZgBhAHUAbAB0ACAANQAwACAAKABtAGEAeAAgADMAMgAsADcANgA3ACAAYwBoAGEAcgBzACwAIABpAG4AYwBsAHUAZABpAG4AZwAgAHMAaQBnAG4AKQBcAG4AIAAqAC8AXABuAFIAYQBuAGQAQQByAHIAYQB5ACAAPQAgAEwAQQBNAEIARABBACgAWwBuAHUAbQBfAHIAbwB3AHMAXQAsACAAWwBuAHUAbQBfAGMAbwBsAHMAXQAsACAAWwBtAGkAbgBfAGQAaQBnAGkAdABzAF0ALAAgAFsAbQBhAHgAXwBkAGkAZwBpAHQAcwBdACwAXABuACAAIAAgACAATABFAFQAKABcAG4AIAAgACAAIAAgACAAIAAgAG4AXwByAG8AdwBzACwAIABJAEYAKABJAFMATwBNAEkAVABUAEUARAAoAG4AdQBtAF8AcgBvAHcAcwApACwAIAAxACwAIABuAHUAbQBfAHIAbwB3AHMAKQAsAFwAbgAgACAAIAAgACAAIAAgACAAbgBfAGMAbwBsAHMALAAgAEkARgAoAEkAUwBPAE0ASQBUAFQARQBEACgAbgB1AG0AXwBjAG8AbABzACkALAAgADEALAAgAG4AdQBtAF8AYwBvAGwAcwApACwAIABcAG4AIAAgACAAIAAgACAAIAAgAG0AaQBuAF8AbABlAG4ALAAgAEkARgAoAEkAUwBPAE0ASQBUAFQARQBEACgAbQBpAG4AXwBkAGkAZwBpAHQAcwApACwAIAAxADYALAAgAE0ASQBOACgAMwAyADcANgA3ACwAIABNAEEAWAAoADEALAAgAG0AaQBuAF8AZABpAGcAaQB0AHMAKQApACkALABcAG4AIAAgACAAIAAgACAAIAAgAG0AYQB4AF8AbABlAG4ALAAgAEkARgAoAEkAUwBPAE0ASQBUAFQARQBEACgAbQBhAHgAXwBkAGkAZwBpAHQAcwApACwAIAA1ADAALAAgAE0AQQBYACgAMQAsACAATQBJAE4AKAAzADIANwA2ADYALAAgAG0AYQB4AF8AZABpAGcAaQB0AHMAKQApACkALABcAG4AXABuACAAIAAgACAAIAAgACAAIABNAEEAUAAoAFIAQQBOAEQAQQBSAFIAQQBZACgAbgBfAHIAbwB3AHMALAAgAG4AXwBjAG8AbABzACwAIABtAGkAbgBfAGwAZQBuACwAIABtAGEAeABfAGwAZQBuACwAIABUAFIAVQBFACkALAAgAEwAQQBNAEIARABBACgAbABlAG4AZwB0AGgALABcAG4AIAAgACAAIAAgACAAIAAgACAAIAAgACAATABFAFQAKABcAG4AIAAgACAAIAAgACAAIAAgACAAIAAgACAAIAAgACAAIABzAGkAZwBuAF8AcAByAGUAZgBpAHgALAAgAEMASABPAE8AUwBFACgAUgBBAE4ARABCAEUAVABXAEUARQBOACgAMQAsACAAMgApACwAIABcACIAXAAiACwAIABcACIALQBcACIAKQAsAFwAbgAgACAAIAAgACAAIAAgACAAIAAgACAAIAAgACAAIAAgAHIAYQBuAGQAXwBkAGkAZwBpAHQAcwAsACAAQwBPAE4AQwBBAFQAKABSAEEATgBEAEEAUgBSAEEAWQAoADEALAAgAGwAZQBuAGcAdABoACwAIAAwACwAIAA5ACwAIABUAFIAVQBFACkAKQAsAFwAbgAgACAAIAAgACAAIAAgACAAIAAgACAAIAAgACAAIAAgAHMAaQBnAG4AXwBwAHIAZQBmAGkAeAAgACYAIABSAEUARwBFAFgAUgBFAFAATABBAEMARQAoAHIAYQBuAGQAXwBkAGkAZwBpAHQAcwAsACAAXAAiAF4AMAAqAFwAIgAsACAAXAAiAFwAIgApAFwAbgAgACAAIAAgACAAIAAgACAAIAAgACAAIAApAFwAbgAgACAAIAAgACAAIAAgACAAKQApAFwAbgAgACAAIAAgACkAXABuACkAOwBcAG4AXABuAC8AKgAqAFwAbgAgACoAIABEAGkAdgBpAGQAZQBzACAAdABoAGUAIABmAGkAcgBzAHQAIABCAGkAZwBJAG4AdAAgAGIAeQAgAHQAaABlACAAcwBlAGMAbwBuAGQAIAAoAEEAIAAvACAAQgApAC4AIABcAG4AIAAqACAAUgBlAHQAdQByAG4AcwAgAHQAaABlACAAcQB1AG8AdABpAGUAbgB0ACAAYQBuAGQAIABtAG8AZAB1AGwAdQBzACAAaQBuACAAcgBvAHcAcwAgADEAIABhAG4AZAAgADIALAAgAHIAZQBzAHAAZQBjAHQAaQB2AGUAbAB5AC4AXABuACAAKgAgAEAAcABhAHIAYQBtACAAaQBuAHAAdQB0AF8AYQAgAFQAaABlACAAZABpAHYAaQBkAGUAbgBkACAAQgBpAGcASQBuAHQAIABzAHQAcgBpAG4AZwAuAFwAbgAgACoAIABAAHAAYQByAGEAbQAgAGkAbgBwAHUAdABfAGIAIABUAGgAZQAgAGQAaQB2AGkAcwBvAHIAIABCAGkAZwBJAG4AdAAgAHMAdAByAGkAbgBnAC4AXABuACAAKgAgAEAAcABhAHIAYQBtACAAWwB1AHMAZQBfAGYAbABvAG8AcgBdACAATwBwAHQAaQBvAG4AYQBsACAAYgBvAG8AbABlAGEAbgAuACAAVABSAFUARQAgAGYAbwByACAAUAB5AHQAaABvAG4ALQBzAHQAeQBsAGUAIABGAGwAbwBvAHIAIABkAGkAdgBpAHMAaQBvAG4ALAAgAEYAQQBMAFMARQAgAGYAbwByACAAVAByAHUAbgBjAGEAdABlAGQALgAgAEQAZQBmAGEAdQBsAHQAcwAgAHQAbwAgAEYAQQBMAFMARQAuAFwAbgAgACoALwBcAG4ARABpAHYATQBvAGQAIAA9ACAATABBAE0AQgBEAEEAKABpAG4AcAB1AHQAXwBhACwAIABpAG4AcAB1AHQAXwBiACwAIABbAHUAcwBlAF8AZgBsAG8AbwByAF0ALABcAG4AIAAgACAAIABMAEUAVAAoAFwAbgAgACAAIAAgACAAIAAgACAAcwB0AHIAXwBuAG8AcgBtAF8AYQAsACAATgBvAHIAbQAoAGkAbgBwAHUAdABfAGEAKQAsAFwAbgAgACAAIAAgACAAIAAgACAAcwB0AHIAXwBuAG8AcgBtAF8AYgAsACAATgBvAHIAbQAoAGkAbgBwAHUAdABfAGIAKQAsAFwAbgAgACAAIAAgACAAIAAgACAAcwBpAGcAbgBfAGEALAAgAEIAaQBnAEkAbgB0AC4AUwBpAGcAbgAoAHMAdAByAF8AbgBvAHIAbQBfAGEAKQAsAFwAbgAgACAAIAAgACAAIAAgACAAcwBpAGcAbgBfAGIALAAgAEIAaQBnAEkAbgB0AC4AUwBpAGcAbgAoAHMAdAByAF8AbgBvAHIAbQBfAGIAKQAsAFwAbgAgACAAIAAgACAAIAAgACAAaQBzAF8AZgBsAG8AbwByAF8AZABpAHYALAAgAEkARgAoAEkAUwBPAE0ASQBUAFQARQBEACgAdQBzAGUAXwBmAGwAbwBvAHIAKQAsACAARgBBAEwAUwBFACwAIAB1AHMAZQBfAGYAbABvAG8AcgApACwAXABuACAAIAAgACAAIAAgACAAIABcAG4AIAAgACAAIAAgACAAIAAgAEkARgAoAHMAaQBnAG4AXwBiACAAPQAgADAALAAgACMARABJAFYALwAwACEALABcAG4AIAAgACAAIAAgACAAIAAgAEkARgAoAHMAaQBnAG4AXwBhACAAPQAgADAALAAgAHsAXAAiADAAXAAiADsAXAAiADAAXAAiAH0ALABcAG4AIAAgACAAIAAgACAAIAAgACAAIAAgACAATABFAFQAKABcAG4AIAAgACAAIAAgACAAIAAgACAAIAAgACAAIAAgACAAIABrACwAIABjAG8AcgBlAF8AQgBpAGcASQBuAHQALgBTAGEAZgBlAEsAKABcACIARABJAFYAXAAiACkALABcAG4AIAAgACAAIAAgACAAIAAgACAAIAAgACAAIAAgACAAIABsAGkAbQBiAHMAXwBhACwAIABjAG8AcgBlAF8AQgBpAGcASQBuAHQALgBTAHAAbABpAHQAKABCAGkAZwBJAG4AdAAuAEEAYgBzACgAcwB0AHIAXwBuAG8AcgBtAF8AYQApACwAIABrACkALABcAG4AIAAgACAAIAAgACAAIAAgACAAIAAgACAAIAAgACAAIABsAGkAbQBiAHMAXwBiACwAIABjAG8AcgBlAF8AQgBpAGcASQBuAHQALgBTAHAAbABpAHQAKABCAGkAZwBJAG4AdAAuAEEAYgBzACgAcwB0AHIAXwBuAG8AcgBtAF8AYgApACwAIABrACkALABcAG4AIAAgACAAIAAgACAAIAAgACAAIAAgACAAIAAgACAAIABcAG4AIAAgACAAIAAgACAAIAAgACAAIAAgACAAIAAgACAAIABwAGEAYwBrAGUAZABfAHIAZQBzAHUAbAB0ACwAIABjAG8AcgBlAF8AQgBpAGcASQBuAHQALgBEAGkAdgBSAG8AdQB0AGUAcgAoAGwAaQBtAGIAcwBfAGEALAAgAGwAaQBtAGIAcwBfAGIALAAgAGsAKQAsAFwAbgAgACAAIAAgACAAIAAgACAAIAAgACAAIAAgACAAIAAgAFwAbgAgACAAIAAgACAAIAAgACAAIAAgACAAIAAgACAAIAAgAGwAZQBuAF8AcgBlAG0AYQBpAG4AZABlAHIALAAgAEkATgBEAEUAWAAoAHAAYQBjAGsAZQBkAF8AcgBlAHMAdQBsAHQALAAgADEALAAgADEAKQAsAFwAbgAgACAAIAAgACAAIAAgACAAIAAgACAAIAAgACAAIAAgAGwAaQBtAGIAcwBfAHIAZQBtAGEAaQBuAGQAZQByACwAIABDAEgATwBPAFMARQBSAE8AVwBTACgAcABhAGMAawBlAGQAXwByAGUAcwB1AGwAdAAsACAAUwBFAFEAVQBFAE4AQwBFACgAbABlAG4AXwByAGUAbQBhAGkAbgBkAGUAcgAsACAAMQAsACAAMgApACkALABcAG4AIAAgACAAIAAgACAAIAAgACAAIAAgACAAIAAgACAAIABsAGkAbQBiAHMAXwBxAHUAbwB0AGkAZQBuAHQALAAgAEQAUgBPAFAAKABwAGEAYwBrAGUAZABfAHIAZQBzAHUAbAB0ACwAIABsAGUAbgBfAHIAZQBtAGEAaQBuAGQAZQByACAAKwAgADEAKQAsAFwAbgAgACAAIAAgACAAIAAgACAAIAAgACAAIAAgACAAIAAgAFwAbgAgACAAIAAgACAAIAAgACAAIAAgACAAIAAgACAAIAAgAGYAaQBuAGEAbABfAHMAaQBnAG4ALAAgAHMAaQBnAG4AXwBhACAAKgAgAHMAaQBnAG4AXwBiACwAXABuACAAIAAgACAAIAAgACAAIAAgACAAIAAgACAAIAAgACAAcwB0AHIAXwBtAGUAcgBnAGUAZABfAHEALAAgAGMAbwByAGUAXwBCAGkAZwBJAG4AdAAuAE0AZQByAGcAZQAoAGwAaQBtAGIAcwBfAHEAdQBvAHQAaQBlAG4AdAAsACAAawApACwAXABuACAAIAAgACAAIAAgACAAIAAgACAAIAAgACAAIAAgACAAcwB0AHIAXwBtAGUAcgBnAGUAZABfAHIALAAgAGMAbwByAGUAXwBCAGkAZwBJAG4AdAAuAE0AZQByAGcAZQAoAGwAaQBtAGIAcwBfAHIAZQBtAGEAaQBuAGQAZQByACwAIABrACkALABcAG4AIAAgACAAIAAgACAAIAAgACAAIAAgACAAIAAgACAAIABcAG4AIAAgACAAIAAgACAAIAAgACAAIAAgACAAIAAgACAAIABzAHQAcgBfAHQAcgB1AG4AYwBfAHEALAAgAEkARgAoAEEATgBEACgAZgBpAG4AYQBsAF8AcwBpAGcAbgAgAD0AIAAtADEALAAgAHMAdAByAF8AbQBlAHIAZwBlAGQAXwBxACAAPAA+ACAAXAAiADAAXAAiACkAIAAsACAAXAAiAC0AXAAiACAAJgAgAHMAdAByAF8AbQBlAHIAZwBlAGQAXwBxACwAIABzAHQAcgBfAG0AZQByAGcAZQBkAF8AcQApACwAXABuACAAIAAgACAAIAAgACAAIAAgACAAIAAgACAAIAAgACAAcwB0AHIAXwB0AHIAdQBuAGMAXwByACwAIABJAEYAKABhAG4AZAAoAHMAaQBnAG4AXwBhACAAPQAgAC0AMQAsACAAcwB0AHIAXwBtAGUAcgBnAGUAZABfAHIAIAA8AD4AIABcACIAMABcACIAKQAsACAAXAAiAC0AXAAiACAAJgAgAHMAdAByAF8AbQBlAHIAZwBlAGQAXwByACwAIABzAHQAcgBfAG0AZQByAGcAZQBkAF8AcgApACwAXABuACAAIAAgACAAIAAgACAAIAAgACAAIAAgACAAIAAgACAAXABuACAAIAAgACAAIAAgACAAIAAgACAAIAAgACAAIAAgACAALwAvACAARgBsAG8AbwByACAAQwBvAHIAcgBlAGMAdABpAG8AbgAgAGkAZgAgAGYAbABvAG8AcgAgAGkAcwAgAHIAZQBxAHUAZQBzAHQAZQBkACwAIABzAGkAZwBuAHMAIABkAGkAZgBmAGUAcgAsACAAYQBuAGQAIAByAGUAbQBhAGkAbgBkAGUAcgAgAGkAcwAgAG4AbwBuAC0AegBlAHIAbwBcAG4AIAAgACAAIAAgACAAIAAgACAAIAAgACAAIAAgACAAIABuAGUAZQBkAHMAXwBmAGwAbwBvAHIAXwBjAG8AcgByAGUAYwB0AGkAbwBuACwAIABBAE4ARAAoAGkAcwBfAGYAbABvAG8AcgBfAGQAaQB2ACwAIABmAGkAbgBhAGwAXwBzAGkAZwBuACAAPQAgAC0AMQAsACAAcwB0AHIAXwBtAGUAcgBnAGUAZABfAHIAIAA8AD4AIABcACIAMABcACIAKQAsAFwAbgAgACAAIAAgACAAIAAgACAAIAAgACAAIAAgACAAIAAgAFwAbgAgACAAIAAgACAAIAAgACAAIAAgACAAIAAgACAAIAAgAHMAdAByAF8AZgBpAG4AYQBsAF8AcQAsACAASQBGACgAbgBlAGUAZABzAF8AZgBsAG8AbwByAF8AYwBvAHIAcgBlAGMAdABpAG8AbgAsACAAUwB1AGIAKABzAHQAcgBfAHQAcgB1AG4AYwBfAHEALAAgAFwAIgAxAFwAIgApACwAIABzAHQAcgBfAHQAcgB1AG4AYwBfAHEAKQAsAFwAbgAgACAAIAAgACAAIAAgACAAIAAgACAAIAAgACAAIAAgAHMAdAByAF8AZgBpAG4AYQBsAF8AcgAsACAASQBGACgAbgBlAGUAZABzAF8AZgBsAG8AbwByAF8AYwBvAHIAcgBlAGMAdABpAG8AbgAsACAAQQBkAGQAKABzAHQAcgBfAHQAcgB1AG4AYwBfAHIALAAgAHMAdAByAF8AbgBvAHIAbQBfAGIAKQAsACAAcwB0AHIAXwB0AHIAdQBuAGMAXwByACkALABcAG4AIAAgACAAIAAgACAAIAAgACAAIAAgACAAIAAgACAAIABcAG4AIAAgACAAIAAgACAAIAAgACAAIAAgACAAIAAgACAAIABWAFMAVABBAEMASwAoAHMAdAByAF8AZgBpAG4AYQBsAF8AcQAsACAAcwB0AHIAXwBmAGkAbgBhAGwAXwByACkAXABuACAAIAAgACAAIAAgACAAIAAgACAAIAAgACkAXABuACAAIAAgACAAIAAgACAAIAApACkAXABuACAAIAAgACAAKQBcAG4AKQA7AFwAbgBcAG4ALwAqACoAXABuACAAKgAgAEQAaQB2AGkAZABlAHMAIAB0AGgAZQAgAGYAaQByAHMAdAAgAEIAaQBnAEkAbgB0ACAAYgB5ACAAdABoAGUAIABzAGUAYwBvAG4AZAAgACgAQQAgAC8AIABCACkALgAgAFwAbgAgACoAIABAAHAAYQByAGEAbQAgAGkAbgBwAHUAdABfAGEAIABUAGgAZQAgAGQAaQB2AGkAZABlAG4AZAAgAEIAaQBnAEkAbgB0ACAAcwB0AHIAaQBuAGcALgBcAG4AIAAqACAAQABwAGEAcgBhAG0AIABpAG4AcAB1AHQAXwBiACAAVABoAGUAIABkAGkAdgBpAHMAbwByACAAQgBpAGcASQBuAHQAIABzAHQAcgBpAG4AZwAuAFwAbgAgACoAIABAAHAAYQByAGEAbQAgAFsAdQBzAGUAXwBmAGwAbwBvAHIAXQAgAE8AcAB0AGkAbwBuAGEAbAAgAGIAbwBvAGwAZQBhAG4ALgAgAFQAUgBVAEUAIABmAG8AcgAgAFAAeQB0AGgAbwBuAC0AcwB0AHkAbABlACAARgBsAG8AbwByACAAZABpAHYAaQBzAGkAbwBuAC4AIABEAGUAZgBhAHUAbAB0AHMAIAB0AG8AIABGAEEATABTAEUALgBcAG4AIAAqAC8AXABuAEQAaQB2ACAAPQAgAEwAQQBNAEIARABBACgAaQBuAHAAdQB0AF8AYQAsACAAaQBuAHAAdQB0AF8AYgAsACAAWwB1AHMAZQBfAGYAbABvAG8AcgBdACwAXABuACAAIAAgACAASQBOAEQARQBYACgARABpAHYATQBvAGQAKABpAG4AcAB1AHQAXwBhACwAIABpAG4AcAB1AHQAXwBiACwAIAB1AHMAZQBfAGYAbABvAG8AcgApACwAIAAxACwAIAAxACkAXABuACkAOwBcAG4AXABuAC8AKgAqAFwAbgAgACoAIABDAG8AbQBwAHUAdABlAHMAIAB0AGgAZQAgAHIAZQBtAGEAaQBuAGQAZQByACAAbwBmACAAQQAgAC8AIABCAC4AXABuACAAKgAgAEAAcABhAHIAYQBtACAAaQBuAHAAdQB0AF8AYQAgAFQAaABlACAAZABpAHYAaQBkAGUAbgBkACAAQgBpAGcASQBuAHQAIABzAHQAcgBpAG4AZwAuAFwAbgAgACoAIABAAHAAYQByAGEAbQAgAGkAbgBwAHUAdABfAGIAIABUAGgAZQAgAGQAaQB2AGkAcwBvAHIAIABCAGkAZwBJAG4AdAAgAHMAdAByAGkAbgBnAC4AXABuACAAKgAgAEAAcABhAHIAYQBtACAAWwB1AHMAZQBfAGYAbABvAG8AcgBdACAATwBwAHQAaQBvAG4AYQBsACAAYgBvAG8AbABlAGEAbgAuACAAVABSAFUARQAgAGYAbwByACAAUAB5AHQAaABvAG4ALQBzAHQAeQBsAGUAIABNAG8AZAB1AGwAbwAuACAARABlAGYAYQB1AGwAdABzACAAdABvACAARgBBAEwAUwBFAC4AXABuACAAKgAvAFwAbgBNAG8AZAAgAD0AIABMAEEATQBCAEQAQQAoAGkAbgBwAHUAdABfAGEALAAgAGkAbgBwAHUAdABfAGIALAAgAFsAdQBzAGUAXwBmAGwAbwBvAHIAXQAsAFwAbgAgACAAIAAgAEkATgBEAEUAWAAoAEQAaQB2AE0AbwBkACgAaQBuAHAAdQB0AF8AYQAsACAAaQBuAHAAdQB0AF8AYgAsACAAdQBzAGUAXwBmAGwAbwBvAHIAKQAsACAAMgAsACAAMQApAFwAbgApADsAXABuAFwAbgAvACoAKgBcAG4AIAAqACAAUgBhAGkAcwBlAHMAIABhACAAQgBpAGcASQBuAHQAIABiAGEAcwBlACAAdABvACAAdABoAGUAIABwAG8AdwBlAHIAIABvAGYAIABhACAAQgBpAGcASQBuAHQAIABlAHgAcABvAG4AZQBuAHQALgBcAG4AIAAqACAAQABwAGEAcgBhAG0AIABiAGEAcwBlACAAVABoAGUAIABiAGEAcwBlACAAQgBpAGcASQBuAHQAIABzAHQAcgBpAG4AZwAuAFwAbgAgACoAIABAAHAAYQByAGEAbQAgAGUAeABwAG8AbgBlAG4AdAAgAFQAaABlACAAZQB4AHAAbwBuAGUAbgB0ACAAQgBpAGcASQBuAHQAIABzAHQAcgBpAG4AZwAuAFwAbgAgACoALwBcAG4AUABvAHcAIAA9ACAATABBAE0AQgBEAEEAKABiAGEAcwBlACwAIABlAHgAcABvAG4AZQBuAHQALABcAG4AIAAgACAAIABMAEUAVAAoAFwAbgAgACAAIAAgACAAIAAgACAAcwB0AHIAXwBuAG8AcgBtAF8AYgBhAHMAZQAsACAATgBvAHIAbQAoAGIAYQBzAGUAKQAsAFwAbgAgACAAIAAgACAAIAAgACAAcwB0AHIAXwBuAG8AcgBtAF8AZQB4AHAALAAgAE4AbwByAG0AKABlAHgAcABvAG4AZQBuAHQAKQAsAFwAbgAgACAAIAAgACAAIAAgACAAcwBpAGcAbgBfAGIAYQBzAGUALAAgAEIAaQBnAEkAbgB0AC4AUwBpAGcAbgAoAHMAdAByAF8AbgBvAHIAbQBfAGIAYQBzAGUAKQAsAFwAbgAgACAAIAAgACAAIAAgACAAcwBpAGcAbgBfAGUAeABwACwAIABCAGkAZwBJAG4AdAAuAFMAaQBnAG4AKABzAHQAcgBfAG4AbwByAG0AXwBlAHgAcAApACwAXABuAFwAbgAgACAAIAAgACAAIAAgACAAcwB0AHIAXwBhAGIAcwBfAGIAYQBzAGUALAAgAEIAaQBnAEkAbgB0AC4AQQBiAHMAKABzAHQAcgBfAG4AbwByAG0AXwBiAGEAcwBlACkALABcAG4AIAAgACAAIAAgACAAIAAgAHMAdAByAF8AYQBiAHMAXwBlAHgAcAAsACAAQgBpAGcASQBuAHQALgBBAGIAcwAoAHMAdAByAF8AbgBvAHIAbQBfAGUAeABwACkALABcAG4AXABuACAAIAAgACAAIAAgACAAIABpAHMAXwBlAHgAcABfAGUAdgBlAG4ALAAgAEkAUwBFAFYARQBOACgAVgBBAEwAVQBFACgAUgBJAEcASABUACgAcwB0AHIAXwBuAG8AcgBtAF8AZQB4AHAALAAgADEAKQApACkALABcAG4AIAAgACAAIAAgACAAIAAgAGYAaQBuAGEAbABfAHMAaQBnAG4ALAAgAEkARgAoAHMAaQBnAG4AXwBiAGEAcwBlACAAPQAgAC0AMQAsACAASQBGACgAaQBzAF8AZQB4AHAAXwBlAHYAZQBuACwAIAAxACwAIAAtADEAKQAsACAAcwBpAGcAbgBfAGIAYQBzAGUAKQAsAFwAbgBcAG4AIAAgACAAIAAgACAAIAAgAC8ALwAgAEgAYQBuAGQAbABlACAAbQBhAHQAaABlAG0AYQB0AGkAYwBhAGwAIABiAG8AdQBuAGQAYQByAGkAZQBzACAAYQBuAGQAIABiAGEAcwBlACAAbABpAG0AaQB0AHMAXABuACAAIAAgACAAIAAgACAAIABJAEYAKABzAHQAcgBfAGEAYgBzAF8AYgBhAHMAZQAgAD0AIABcACIAMABcACIALAAgAEkARgAoAHMAdAByAF8AbgBvAHIAbQBfAGUAeABwACAAPQAgAFwAIgAwAFwAIgAsACAAIwBOAFUATQAhACwAIABcACIAMABcACIAKQAsACAALwAvACAAMABeADAAIABpAHMAIAB1AG4AZABlAGYAaQBuAGUAZABcAG4AIAAgACAAIAAgACAAIAAgAEkARgAoAHMAdAByAF8AYQBiAHMAXwBiAGEAcwBlACAAPQAgAFwAIgAxAFwAIgAsACAASQBGACgAZgBpAG4AYQBsAF8AcwBpAGcAbgAgAD0AIAAtADEALAAgAFwAIgAtADEAXAAiACwAIABcACIAMQBcACIAKQAsAFwAbgAgACAAIAAgACAAIAAgACAASQBGACgAcwBpAGcAbgBfAGUAeABwACAAPQAgAC0AMQAsACAAXAAiADAAXAAiACwAIAAvAC8AIABJAG4AdABlAGcAZQByACAAdAByAHUAbgBjAGEAdABpAG8AbgA6ACAAbgBlAGcAYQB0AGkAdgBlACAAZQB4AHAAbwBuAGUAbgB0AHMAIAB5AGkAZQBsAGQAIAAwACAAZgBvAHIAIABiAGEAcwBlAHMAIAA+AD0AIAAyAFwAbgAgACAAIAAgACAAIAAgACAASQBGACgAcwB0AHIAXwBuAG8AcgBtAF8AZQB4AHAAIAA9ACAAXAAiADAAXAAiACwAIABcACIAMQBcACIALABcAG4AXABuACAAIAAgACAAIAAgACAAIAAvAC8AIABSAGUAcwB1AGwAdABzACAAZgByAG8AbQAgAGUAeABwAG8AbgBlAG4AdABzACAAZwByAGUAYQB0AGUAcgAgAHQAaABhAG4AIAA2ACAAZABpAGcAaQB0AHMAIABjAGEAbgBuAG8AdAAgAGIAZQAgAGQAaQBzAHAAbABhAHkAZQBkAC4AXABuACAAIAAgACAAIAAgACAAIABJAEYAKABMAEUATgAoAHMAdAByAF8AbgBvAHIAbQBfAGUAeABwACkAIAA+ACAANgAsACAAIwBOAFUATQAhACwAXABuACAAIAAgACAAIAAgACAAIAAgACAAIAAgAEwARQBUACgAXABuACAAIAAgACAAIAAgACAAIAAgACAAIAAgACAAIAAgACAAbgB1AG0AXwBlAHgAcAAsACAAVgBBAEwAVQBFACgAcwB0AHIAXwBuAG8AcgBtAF8AZQB4AHAAKQAsAFwAbgAgACAAIAAgACAAIAAgACAAIAAgACAAIAAgACAAIAAgAFwAbgAgACAAIAAgACAAIAAgACAAIAAgACAAIAAgACAAIAAgAC8ALwAgAEEAcABwAHIAbwB4AGkAbQBhAHQAZQAgAHQAaABlACAAZgBpAG4AYQBsACAAYwBoAGEAcgBhAGMAdABlAHIAIABjAG8AdQBuAHQAOgAgAEIAIAAqACAATABvAGcAMQAwACgAQQApAFwAbgAgACAAIAAgACAAIAAgACAAIAAgACAAIAAgACAAIAAgAGIAYQBzAGUAXwBsAG8AZwAxADAALAAgAEwATwBHADEAMAAoAFYAQQBMAFUARQAoAEwARQBGAFQAKABzAHQAcgBfAGEAYgBzAF8AYgBhAHMAZQAsACAAMQA0ACkAKQApACAAKwAgAE0AQQBYACgAMAAsACAATABFAE4AKABzAHQAcgBfAGEAYgBzAF8AYgBhAHMAZQApACAALQAgADEANAApACwAXABuACAAIAAgACAAIAAgACAAIAAgACAAIAAgACAAIAAgACAAYQBwAHAAcgBvAHgAXwBkAGkAZwBpAHQAcwAsACAAbgB1AG0AXwBlAHgAcAAgACoAIABiAGEAcwBlAF8AbABvAGcAMQAwACwAXABuAFwAbgAgACAAIAAgACAAIAAgACAAIAAgACAAIAAgACAAIAAgAEkARgAoAGEAcABwAHIAbwB4AF8AZABpAGcAaQB0AHMAIAA+ACAAMwAyADcANgA2ACwAIAAjAE4AVQBNACEALABcAG4AIAAgACAAIAAgACAAIAAgACAAIAAgACAAIAAgACAAIAAgACAAIAAgAEwARQBUACgAXABuACAAIAAgACAAIAAgACAAIAAgACAAIAAgACAAIAAgACAAIAAgACAAIAAgACAAIAAgAGsALAAgAGMAbwByAGUAXwBCAGkAZwBJAG4AdAAuAFMAYQBmAGUASwAoAFwAIgBNAFUATABcACIALAAgAGEAcABwAHIAbwB4AF8AZABpAGcAaQB0AHMAIAAvACAAMgApACwAXABuACAAIAAgACAAIAAgACAAIAAgACAAIAAgACAAIAAgACAAIAAgACAAIAAgACAAIAAgAGwAaQBtAGIAcwBfAGIAYQBzAGUALAAgAGMAbwByAGUAXwBCAGkAZwBJAG4AdAAuAFMAcABsAGkAdAAoAHMAdAByAF8AYQBiAHMAXwBiAGEAcwBlACwAIABrACkALABcAG4AXABuACAAIAAgACAAIAAgACAAIAAgACAAIAAgACAAIAAgACAAIAAgACAAIAAgACAAIAAgAGwAaQBtAGIAcwBfAGYAaQBuAGEAbAAsACAAYwBvAHIAZQBfAEIAaQBnAEkAbgB0AC4AVQBQAG8AdwAoAGwAaQBtAGIAcwBfAGIAYQBzAGUALAAgAHMAdAByAF8AbgBvAHIAbQBfAGUAeABwACwAIABrACkALABcAG4AIAAgACAAIAAgACAAIAAgACAAIAAgACAAIAAgACAAIAAgACAAIAAgACAAIAAgACAAcwB0AHIAXwBtAGUAcgBnAGUAZAAsACAAYwBvAHIAZQBfAEIAaQBnAEkAbgB0AC4ATQBlAHIAZwBlACgAbABpAG0AYgBzAF8AZgBpAG4AYQBsACwAIABrACkALABcAG4AXABuACAAIAAgACAAIAAgACAAIAAgACAAIAAgACAAIAAgACAAIAAgACAAIAAgACAAIAAgAEkARgAoAGYAaQBuAGEAbABfAHMAaQBnAG4AIAA9ACAALQAxACwAIABcACIALQBcACIAIAAmACAAcwB0AHIAXwBtAGUAcgBnAGUAZAAsACAAcwB0AHIAXwBtAGUAcgBnAGUAZAApAFwAbgAgACAAIAAgACAAIAAgACAAIAAgACAAIAAgACAAIAAgACAAIAAgACAAKQBcAG4AIAAgACAAIAAgACAAIAAgACAAIAAgACAAIAAgACAAIAApAFwAbgAgACAAIAAgACAAIAAgACAAIAAgACAAIAApAFwAbgAgACAAIAAgACAAIAAgACAAKQApACkAKQApAFwAbgAgACAAIAAgACkAXABuACkAOwBcAG4ALwAvADEAMgAzADQANQA2ADcAOAA5ADAAMQAyADMANAA1ADYANwA4ADkAMAAxADIAMwA0ADUANgA3ADgAOQAwADEAMgAzADQANQA2ADcAOAA5ADAAMQAyADMANAA1ADYANwA4ADkAMAAxADIAMwA0ADUANgA3ADgAOQAwADEAMgAzADQANQA2ADcAOAA5AC0AMQAyADMANAA1ADYANwAtADkAMAAxADIAMwA0ADUANgA3ADgAOQAwADEAMgAzADQANQA2ADcAOAA5ADAAMQAyADMANAA1ADYANwA4ADkAMAAxADIAMwA0ADUANgA3AC0AXABuAC8AKgAqAFwAbgAgACoAIABDAGEAbABjAHUAbABhAHQAZQBzACAAdABoAGUAIABpAG4AdABlAGcAZQByACAAcwBxAHUAYQByAGUAIAByAG8AbwB0ACAAKABmAGwAbwBvAHIAKQAgAG8AZgAgAGEAIABCAGkAZwBJAG4AdAAuAFwAbgAgACoAIABAAHAAYQByAGEAbQAgAGkAbgBwAHUAdAAgAFQAaABlACAAcgBhAGQAaQBjAGEAbgBkACAAQgBpAGcASQBuAHQAIABzAHQAcgBpAG4AZwAuAFwAbgAgACoALwBcAG4AUwBxAHIAdAAgAD0AIABMAEEATQBCAEQAQQAoAGkAbgBwAHUAdAAsAFwAbgAgACAAIAAgAEwARQBUACgAXABuACAAIAAgACAAIAAgACAAIABzAHQAcgBfAG4AbwByAG0ALAAgAE4AbwByAG0AKABpAG4AcAB1AHQAKQAsAFwAbgAgACAAIAAgACAAIAAgACAAcwBpAGcAbgBfAG4ALAAgAEIAaQBnAEkAbgB0AC4AUwBpAGcAbgAoAHMAdAByAF8AbgBvAHIAbQApACwAXABuAFwAbgAgACAAIAAgACAAIAAgACAASQBGACgAcwBpAGcAbgBfAG4AIAA9ACAALQAxACwAIAAjAE4AVQBNACEALABcAG4AIAAgACAAIAAgACAAIAAgAEkARgAoAHMAdAByAF8AbgBvAHIAbQAgAD0AIABcACIAMABcACIALAAgAFwAIgAwAFwAIgAsAFwAbgAgACAAIAAgACAAIAAgACAASQBGACgAcwB0AHIAXwBuAG8AcgBtACAAPQAgAFwAIgAxAFwAIgAsACAAXAAiADEAXAAiACwAXABuACAAIAAgACAAIAAgACAAIAAgACAAIAAgAEwARQBUACgAXABuACAAIAAgACAAIAAgACAAIAAgACAAIAAgACAAIAAgACAAbABlAG4AXwBuAG8AcgBtACwAIABMAEUATgAoAHMAdAByAF8AbgBvAHIAbQApACwAXABuACAAIAAgACAAIAAgACAAIAAgACAAIAAgACAAIAAgACAAbgB1AG0AXwBzAGUAZQBkAF8AcAByAGUAYwBpAHMAaQBvAG4ALAAgAEkARgAoAGwAZQBuAF8AbgBvAHIAbQAgADwAPQAgADEANAAsACAAbABlAG4AXwBuAG8AcgBtACwAIABJAEYAKABJAFMARQBWAEUATgAoAGwAZQBuAF8AbgBvAHIAbQApACwAIAAxADQALAAgADEAMwApACkALABcAG4AIAAgACAAIAAgACAAIAAgACAAIAAgACAAIAAgACAAIABzAHQAcgBfAG4AYQB0AGkAdgBlAF8AcAByAGUAYwBpAHMAaQBvAG4ALAAgAEwARQBGAFQAKABzAHQAcgBfAG4AbwByAG0ALAAgAG4AdQBtAF8AcwBlAGUAZABfAHAAcgBlAGMAaQBzAGkAbwBuACkALABcAG4AIAAgACAAIAAgACAAIAAgACAAIAAgACAAIAAgACAAIABuAHUAbQBfAG4AYQB0AGkAdgBlAF8AcAByAGUAYwBpAHMAaQBvAG4ALAAgAFYAQQBMAFUARQAoAHMAdAByAF8AbgBhAHQAaQB2AGUAXwBwAHIAZQBjAGkAcwBpAG8AbgApACwAXABuACAAIAAgACAAIAAgACAAIAAgACAAIAAgACAAIAAgACAAbgB1AG0AXwBtAGEAZwBuAGkAdAB1AGQAZQBfAHoAZQByAG8AZQBzACwAIAAoAGwAZQBuAF8AbgBvAHIAbQAgAC0AIABuAHUAbQBfAHMAZQBlAGQAXwBwAHIAZQBjAGkAcwBpAG8AbgApACAALwAgADIALABcAG4AXABuACAAIAAgACAAIAAgACAAIAAgACAAIAAgACAAIAAgACAAcwB0AHIAXwBwAHIAZQBmAGkAeAAsACAAVABFAFgAVAAoAFIATwBVAE4ARABVAFAAKABTAFEAUgBUACgAbgB1AG0AXwBuAGEAdABpAHYAZQBfAHAAcgBlAGMAaQBzAGkAbwBuACkALAAgADAAKQAgACsAIAAxACwAIABcACIAMABcACIAKQAsAFwAbgAgACAAIAAgACAAIAAgACAAIAAgACAAIAAgACAAIAAgAHMAdAByAF8AcwBlAGUAZAAsACAAcwB0AHIAXwBwAHIAZQBmAGkAeAAgACYAIABSAEUAUABUACgAXAAiADAAXAAiACwAIABuAHUAbQBfAG0AYQBnAG4AaQB0AHUAZABlAF8AegBlAHIAbwBlAHMAKQAsAFwAbgBcAG4AIAAgACAAIAAgACAAIAAgACAAIAAgACAAIAAgACAAIAAvAC8AIABTAGMAYQBsAGUAcwAgAGsAIABiAHkAIAB0AGgAZQAgAG0AYQB4AGkAbQB1AG0AIABvAHYAZQByAGwAYQBwACAAXABuACAAIAAgACAAIAAgACAAIAAgACAAIAAgACAAIAAgACAAawAsACAAYwBvAHIAZQBfAEIAaQBnAEkAbgB0AC4AUwBhAGYAZQBLACgAXAAiAE0AVQBMAFwAIgAsACAAbABlAG4AXwBuAG8AcgBtACkALABcAG4AIAAgACAAIAAgACAAIAAgACAAIAAgACAAIAAgACAAIABcAG4AIAAgACAAIAAgACAAIAAgACAAIAAgACAAIAAgACAAIABsAGkAbQBiAHMAXwByAGEAZABpAGMAYQBuAGQALAAgAGMAbwByAGUAXwBCAGkAZwBJAG4AdAAuAFMAcABsAGkAdAAoAHMAdAByAF8AbgBvAHIAbQAsACAAawApACwAXABuACAAIAAgACAAIAAgACAAIAAgACAAIAAgACAAIAAgACAAbABpAG0AYgBzAF8AcwBlAGUAZAAsACAAYwBvAHIAZQBfAEIAaQBnAEkAbgB0AC4AUwBwAGwAaQB0ACgAcwB0AHIAXwBzAGUAZQBkACwAIABrACkALABcAG4AXABuACAAIAAgACAAIAAgACAAIAAgACAAIAAgACAAIAAgACAAbABpAG0AYgBzAF8AZgBpAG4AYQBsACwAIABjAG8AcgBlAF8AQgBpAGcASQBuAHQALgBVAFMAcQByAHQAKABsAGkAbQBiAHMAXwByAGEAZABpAGMAYQBuAGQALAAgAGwAaQBtAGIAcwBfAHMAZQBlAGQALAAgAGsAKQAsAFwAbgBcAG4AIAAgACAAIAAgACAAIAAgACAAIAAgACAAIAAgACAAIABjAG8AcgBlAF8AQgBpAGcASQBuAHQALgBNAGUAcgBnAGUAKABsAGkAbQBiAHMAXwBmAGkAbgBhAGwALAAgAGsAKQBcAG4AIAAgACAAIAAgACAAIAAgACAAIAAgACAAKQBcAG4AIAAgACAAIAAgACAAIAAgACkAKQApAFwAbgAgACAAIAAgACkAXABuACkAOwBcAG4AXABuAC8AKgAqAFwAbgAgACoAIABDAG8AbQBwAHUAdABlAHMAIAB0AGgAZQAgAGYAYQBjAHQAbwByAGkAYQBsACAAbwBmACAAYQAgAEIAaQBnAEkAbgB0ACAAKABuACEAKQAgAHUAcwBpAG4AZwAgAFAAZQB0AGUAcgAgAEwAdQBzAGMAaABuAHkAJwBzACAAUAByAGkAbQBlACAAUwB3AGkAbgBnACAAYQBsAGcAbwByAGkAdABoAG0ALgBcAG4AIAAqACAAQABwAGEAcgBhAG0AIABpAG4AcAB1AHQAIABUAGgAZQAgAEIAaQBnAEkAbgB0ACAAcwB0AHIAaQBuAGcALgAgAE0AYQB4AGkAbQB1AG0AIABzAHUAcABwAG8AcgB0AGUAZAAgAGkAbgBwAHUAdAAgAGkAcwAgADkAMgA3ADMALgBcAG4AIAAqAC8AXABuAEYAYQBjAHQAIAA9ACAATABBAE0AQgBEAEEAKABpAG4AcAB1AHQALABcAG4AIAAgACAAIABMAEUAVAAoAFwAbgAgACAAIAAgACAAIAAgACAAcwB0AHIAXwBuAG8AcgBtACwAIABOAG8AcgBtACgAaQBuAHAAdQB0ACkALABcAG4AIAAgACAAIAAgACAAIAAgAHMAaQBnAG4AXwBuACwAIABCAGkAZwBJAG4AdAAuAFMAaQBnAG4AKABzAHQAcgBfAG4AbwByAG0AKQAsAFwAbgBcAG4AIAAgACAAIAAgACAAIAAgAEkARgAoAHMAaQBnAG4AXwBuACAAPQAgAC0AMQAsACAAIwBOAFUATQAhACwAXABuACAAIAAgACAAIAAgACAAIABJAEYAKABzAHQAcgBfAG4AbwByAG0AIAA9ACAAXAAiADAAXAAiACwAIABcACIAMQBcACIALABcAG4AIAAgACAAIAAgACAAIAAgAEkARgAoAHMAdAByAF8AbgBvAHIAbQAgAD0AIABcACIAMQBcACIALAAgAFwAIgAxAFwAIgAsAFwAbgAgACAAIAAgACAAIAAgACAALwAvACAARgBpAHIAZQB3AGEAbABsACAAMQA6ACAAVAByAGEAcAAgAG0AYQBzAHMAaQB2AGUAIABzAHQAcgBpAG4AZwBzACAAYgBlAGYAbwByAGUAIAB0AGgAZQB5ACAAaABpAHQAIABWAEEATABVAEUAKAApAFwAbgAgACAAIAAgACAAIAAgACAASQBGACgATABFAE4AKABzAHQAcgBfAG4AbwByAG0AKQAgAD4AIAA0ACwAIAAjAE4AVQBNACEALAAgAFwAbgAgACAAIAAgACAAIAAgACAALwAvACAARgBpAHIAZQB3AGEAbABsACAAMgA6ACAAVAByAGEAcAAgAG0AYQB0AGgAZQBtAGEAdABpAGMAYQBsACAAYwBlAGkAbABpAG4AZwBcAG4AIAAgACAAIAAgACAAIAAgAEkARgAoAFYAQQBMAFUARQAoAHMAdAByAF8AbgBvAHIAbQApACAAPgAgADkAMgA3ADMALAAgACMATgBVAE0AIQAsAFwAbgAgACAAIAAgACAAIAAgACAAIAAgACAAIABMAEUAVAAoAFwAbgAgACAAIAAgACAAIAAgACAAIAAgACAAIAAgACAAIAAgAG4AdQBtAF8AbgAsACAAVgBBAEwAVQBFACgAcwB0AHIAXwBuAG8AcgBtACkALABcAG4AIAAgACAAIAAgACAAIAAgACAAIAAgACAAIAAgACAAIABnAGwAbwBiAGEAbABfAHAAcgBpAG0AZQBzACwAIABjAG8AcgBlAF8AQgBpAGcASQBuAHQALgBOAGEAdABpAHYAZQBQAHIAaQBtAGUAcwAoAG4AdQBtAF8AbgApACwAXABuACAAIAAgACAAIAAgACAAIAAgACAAIAAgACAAIAAgACAAXABuACAAIAAgACAAIAAgACAAIAAgACAAIAAgACAAIAAgACAAYwBvAHIAZQBfAEIAaQBnAEkAbgB0AC4AUAByAGkAbQBlAFMAdwBpAG4AZwBLAGUAcgBuAGUAbAAoAG4AdQBtAF8AbgAsACAAZwBsAG8AYgBhAGwAXwBwAHIAaQBtAGUAcwApAFwAbgAgACAAIAAgACAAIAAgACAAIAAgACAAIAApAFwAbgAgACAAIAAgACAAIAAgACAAKQApACkAKQApAFwAbgAgACAAIAAgACkAXABuACkAOwBcAG4AXABuAC8AKgAqAFwAbgAgACoAIABSAGUAdAB1AHIAbgBzACAAdABoAGUAIABtAGkAbgBpAG0AdQBtACAAQgBpAGcASQBuAHQAIABmAHIAbwBtACAAYQBuACAAYQByAHIAYQB5ACAAbwByACAAcgBhAG4AZwBlAC4AXABuACAAKgAgAEAAcABhAHIAYQBtACAAcgBhAG4AZwBlACAAQQAgAGMAbwBuAHQAaQBnAHUAbwB1AHMAIAByAGEAbgBnAGUAIABvAHIAIABhAHIAcgBhAHkAIABvAGYAIABCAGkAZwBJAG4AdAAgAHMAdAByAGkAbgBnAHMALgBcAG4AIAAqAC8AXABuAE0AaQBuACAAPQAgAEwAQQBNAEIARABBACgAcgBhAG4AZwBlACwAXABuACAAIAAgACAATABFAFQAKABcAG4AIAAgACAAIAAgACAAIAAgAGYAbABhAHQAdABlAG4AZQBkAF8AYwBvAGwALAAgAFQATwBDAE8ATAAoAHIAYQBuAGcAZQAsACAAMQApACwAXABuACAAIAAgACAAIAAgACAAIABcAG4AIAAgACAAIAAgACAAIAAgAEkARgAoAE8AUgAoAEkAUwBFAFIAUgBPAFIAKABmAGwAYQB0AHQAZQBuAGUAZABfAGMAbwBsACkALAAgAFIATwBXAFMAKABmAGwAYQB0AHQAZQBuAGUAZABfAGMAbwBsACkAIAA9ACAAMAApACwAIABcACIAMABcACIALABcAG4AIAAgACAAIAAgACAAIAAgACAAIAAgACAAYwBvAHIAZQBfAEIAaQBnAEkAbgB0AC4AVAByAGUAZQBDAG8AbQBwAGEAcgBlACgATQBBAFAAKABmAGwAYQB0AHQAZQBuAGUAZABfAGMAbwBsACwAIABCAGkAZwBJAG4AdAAuAE4AbwByAG0AKQAsACAALQAxACkAXABuACAAIAAgACAAIAAgACAAIAApAFwAbgAgACAAIAAgACkAXABuACkAOwBcAG4AXABuAC8AKgAqAFwAbgAgACoAIABSAGUAdAB1AHIAbgBzACAAdABoAGUAIABtAGEAeABpAG0AdQBtACAAQgBpAGcASQBuAHQAIABmAHIAbwBtACAAYQBuACAAYQByAHIAYQB5ACAAbwByACAAcgBhAG4AZwBlAC4AXABuACAAKgAgAEAAcABhAHIAYQBtACAAcgBhAG4AZwBlACAAQQAgAGMAbwBuAHQAaQBnAHUAbwB1AHMAIAByAGEAbgBnAGUAIABvAHIAIABhAHIAcgBhAHkAIABvAGYAIABCAGkAZwBJAG4AdAAgAHMAdAByAGkAbgBnAHMALgBcAG4AIAAqAC8AXABuAE0AYQB4ACAAPQAgAEwAQQBNAEIARABBACgAcgBhAG4AZwBlACwAXABuACAAIAAgACAATABFAFQAKABcAG4AIAAgACAAIAAgACAAIAAgAGYAbABhAHQAdABlAG4AZQBkAF8AYwBvAGwALAAgAFQATwBDAE8ATAAoAHIAYQBuAGcAZQAsACAAMQApACwAXABuACAAIAAgACAAIAAgACAAIABcAG4AIAAgACAAIAAgACAAIAAgAEkARgAoAE8AUgAoAEkAUwBFAFIAUgBPAFIAKABmAGwAYQB0AHQAZQBuAGUAZABfAGMAbwBsACkALAAgAFIATwBXAFMAKABmAGwAYQB0AHQAZQBuAGUAZABfAGMAbwBsACkAIAA9ACAAMAApACwAIABcACIAMABcACIALABcAG4AIAAgACAAIAAgACAAIAAgACAAIAAgACAAYwBvAHIAZQBfAEIAaQBnAEkAbgB0AC4AVAByAGUAZQBDAG8AbQBwAGEAcgBlACgATQBBAFAAKABmAGwAYQB0AHQAZQBuAGUAZABfAGMAbwBsACwAIABCAGkAZwBJAG4AdAAuAE4AbwByAG0AKQAsACAAMQApAFwAbgAgACAAIAAgACAAIAAgACAAKQBcAG4AIAAgACAAIAApAFwAbgApADsAIgB9AF0ALAAiAHAAcgBvAGoAZQBjAHQATgBhAG0AZQBzACIAOgBbACIAdABlAHMAdABfAEIAaQBnAEkAbgB0AC4ASwBuAHUAdABoAEQAaQB2AGkAcwBpAG8AbgAiACwAIgB0AGUAcwB0AF8AQgBpAGcASQBuAHQALgBOAGUAdwB0AG8AbgBSAGEAcABoAHMAbwBuAEQAaQB2AGkAcwBpAG8AbgAiACwAIgB0AGUAcwB0AF8AQgBpAGcASQBuAHQALgBEAGkAdgBpAHMAaQBvAG4AQQBsAGcAbwByAGkAdABoAG0AcwAiACwAIgB0AGUAcwB0AF8AQgBpAGcASQBuAHQALgBEAGkAdgBpAHMAaQBvAG4AQQBsAGcAbwByAGkAdABoAG0AQwBvAG0AcABhAHIAaQBzAG8AbgAiACwAIgB0AGUAcwB0AF8AQgBpAGcASQBuAHQALgBEAGkAdgBpAHMAaQBvAG4AQgBlAG4AYwBoAG0AYQByAGsAQwBhAHMAZQBzACIALAAiAHQAZQBzAHQAXwBCAGkAZwBJAG4AdAAuAEEAcwB5AG0AbQBlAHQAcgBpAGMAQQBCAEcAcgBpAGQAIgAsACIAdABlAHMAdABfAEIAaQBnAEkAbgB0AC4ARgBhAGMAdABvAHIAaQBhAGwAQQBsAGcAbwByAGkAdABoAG0AcwAiACwAIgB0AGUAcwB0AF8AQgBpAGcASQBuAHQALgBGAGEAYwB0AG8AcgBpAGEAbABDAG8AbQBwAGEAcgBpAHMAbwBuACIALAAiAGMAbwByAGUAXwBCAGkAZwBJAG4AdAAuAFMAYQBmAGUASwAiACwAIgBjAG8AcgBlAF8AQgBpAGcASQBuAHQALgBTAHAAbABpAHQAIgAsACIAYwBvAHIAZQBfAEIAaQBnAEkAbgB0AC4ATQBlAHIAZwBlACIALAAiAGMAbwByAGUAXwBCAGkAZwBJAG4AdAAuAEMAYQByAHIAeQAiACwAIgBjAG8AcgBlAF8AQgBpAGcASQBuAHQALgBVAEMAbwBtAHAAYQByAGUAIgAsACIAYwBvAHIAZQBfAEIAaQBnAEkAbgB0AC4AVQBBAGQAZAAiACwAIgBjAG8AcgBlAF8AQgBpAGcASQBuAHQALgBVAFMAdQBiACIALAAiAGMAbwByAGUAXwBCAGkAZwBJAG4AdAAuAFUATQBhAHQAcgBpAHgAUwB1AG0AIgAsACIAYwBvAHIAZQBfAEIAaQBnAEkAbgB0AC4AQQBkAGQAUwB1AGIAUgBvAHUAdABlAHIAIgAsACIAYwBvAHIAZQBfAEIAaQBnAEkAbgB0AC4AVQBNAHUAbAAiACwAIgBjAG8AcgBlAF8AQgBpAGcASQBuAHQALgBGAGkAbgBkAFEAdQBvAHQAaQBlAG4AdABMAGkAbQBiACIALAAiAGMAbwByAGUAXwBCAGkAZwBJAG4AdAAuAEsAbgB1AHQAaABEAGkAdgAiACwAIgBjAG8AcgBlAF8AQgBpAGcASQBuAHQALgBEAGkAdgBSAG8AdQB0AGUAcgAiACwAIgBjAG8AcgBlAF8AQgBpAGcASQBuAHQALgBOAGUAdwB0AG8AbgBSAGEAcABoAHMAbwBuAFMAZQBlAGQAIgAsACIAYwBvAHIAZQBfAEIAaQBnAEkAbgB0AC4ATgBlAHcAdABvAG4AUgBhAHAAaABzAG8AbgBSAGUAYwBpAHAAcgBvAGMAYQBsACIALAAiAGMAbwByAGUAXwBCAGkAZwBJAG4AdAAuAE4AZQB3AHQAbwBuAFIAYQBwAGgAcwBvAG4ARABpAHYAIgAsACIAYwBvAHIAZQBfAEIAaQBnAEkAbgB0AC4AVQBQAG8AdwAiACwAIgBjAG8AcgBlAF8AQgBpAGcASQBuAHQALgBVAFMAcQByAHQAIgAsACIAYwBvAHIAZQBfAEIAaQBnAEkAbgB0AC4ATgBhAHQAaQB2AGUAUAByAGkAbQBlAHMAIgAsACIAYwBvAHIAZQBfAEIAaQBnAEkAbgB0AC4AVQBUAGUAeAB0AE0AdQBsACIALAAiAGMAbwByAGUAXwBCAGkAZwBJAG4AdAAuAFQAZQB4AHQAVAByAGUAZQBQAHIAbwBkACIALAAiAGMAbwByAGUAXwBCAGkAZwBJAG4AdAAuAE4AYQB0AGkAdgBlAFMAdwBpAG4AZwBFAHgAcABvAG4AZQBuAHQAcwAiACwAIgBjAG8AcgBlAF8AQgBpAGcASQBuAHQALgBTAHcAaQBuAGcAVABlAHIAbQAiACwAIgBjAG8AcgBlAF8AQgBpAGcASQBuAHQALgBQAHIAaQBtAGUAUwB3AGkAbgBnAEsAZQByAG4AZQBsACIALAAiAGMAbwByAGUAXwBCAGkAZwBJAG4AdAAuAFQAcgBlAGUAQwBvAG0AcABhAHIAZQAiACwAIgBCAGkAZwBJAG4AdAAuAE4AbwByAG0AIgAsACIAQgBpAGcASQBuAHQALgBTAGkAZwBuACIALAAiAEIAaQBnAEkAbgB0AC4ASQBzAFoAZQByAG8AIgAsACIAQgBpAGcASQBuAHQALgBJAHMATgBlAGcAIgAsACIAQgBpAGcASQBuAHQALgBJAHMARQB2AGUAbgAiACwAIgBCAGkAZwBJAG4AdAAuAEkAcwBPAGQAZAAiACwAIgBCAGkAZwBJAG4AdAAuAEEAYgBzACIALAAiAEIAaQBnAEkAbgB0AC4AQwBvAG0AcABhAHIAZQAiACwAIgBCAGkAZwBJAG4AdAAuAEEAZABkACIALAAiAEIAaQBnAEkAbgB0AC4AUwB1AGIAIgAsACIAQgBpAGcASQBuAHQALgBTAHUAbQAiACwAIgBCAGkAZwBJAG4AdAAuAE0AdQBsACIALAAiAEIAaQBnAEkAbgB0AC4AUgBhAG4AZABBAHIAcgBhAHkAIgAsACIAQgBpAGcASQBuAHQALgBEAGkAdgBNAG8AZAAiACwAIgBCAGkAZwBJAG4AdAAuAEQAaQB2ACIALAAiAEIAaQBnAEkAbgB0AC4ATQBvAGQAIgAsACIAQgBpAGcASQBuAHQALgBQAG8AdwAiACwAIgBCAGkAZwBJAG4AdAAuAFMAcQByAHQAIgAsACIAQgBpAGcASQBuAHQALgBGAGEAYwB0ACIALAAiAEIAaQBnAEkAbgB0AC4ATQBpAG4AIgAsACIAQgBpAGcASQBuAHQALgBNAGEAeA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BB01276C-9279-4904-9DED-1DD81807606E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Tests</vt:lpstr>
      <vt:lpstr>Notes</vt:lpstr>
      <vt:lpstr>div bench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Hamilton</dc:creator>
  <cp:lastModifiedBy>Aidan Hamilton</cp:lastModifiedBy>
  <dcterms:created xsi:type="dcterms:W3CDTF">2026-04-10T07:30:51Z</dcterms:created>
  <dcterms:modified xsi:type="dcterms:W3CDTF">2026-04-25T10:35:09Z</dcterms:modified>
</cp:coreProperties>
</file>